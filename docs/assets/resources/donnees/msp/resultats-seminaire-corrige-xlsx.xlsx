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F:\Cours_ENI\TSSR\4 - MSP systèmes clients\"/>
    </mc:Choice>
  </mc:AlternateContent>
  <xr:revisionPtr revIDLastSave="0" documentId="13_ncr:1_{EEF19007-BB1B-4227-938F-1C814B1BC3DA}" xr6:coauthVersionLast="45" xr6:coauthVersionMax="45" xr10:uidLastSave="{00000000-0000-0000-0000-000000000000}"/>
  <bookViews>
    <workbookView xWindow="17535" yWindow="3735" windowWidth="22395" windowHeight="54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E17" i="1"/>
  <c r="E16" i="1"/>
  <c r="E15" i="1"/>
  <c r="D18" i="1"/>
  <c r="D17" i="1"/>
  <c r="D16" i="1"/>
  <c r="D15" i="1"/>
  <c r="B19" i="1"/>
  <c r="C18" i="1"/>
  <c r="C17" i="1"/>
  <c r="C16" i="1"/>
  <c r="C15" i="1"/>
  <c r="B18" i="1"/>
  <c r="B17" i="1"/>
  <c r="B16" i="1"/>
  <c r="B15" i="1"/>
  <c r="G10" i="1"/>
  <c r="I10" i="1" s="1"/>
  <c r="G11" i="1"/>
  <c r="I11" i="1" s="1"/>
  <c r="G12" i="1"/>
  <c r="I12" i="1" s="1"/>
  <c r="F10" i="1"/>
  <c r="F11" i="1"/>
  <c r="F12" i="1"/>
  <c r="G9" i="1"/>
  <c r="I9" i="1" s="1"/>
  <c r="F9" i="1"/>
  <c r="G8" i="1"/>
  <c r="I8" i="1" s="1"/>
  <c r="F8" i="1"/>
  <c r="G7" i="1"/>
  <c r="I7" i="1" s="1"/>
  <c r="F7" i="1"/>
  <c r="G6" i="1"/>
  <c r="I6" i="1" s="1"/>
  <c r="F6" i="1"/>
  <c r="G5" i="1"/>
  <c r="I5" i="1" s="1"/>
  <c r="F5" i="1"/>
</calcChain>
</file>

<file path=xl/sharedStrings.xml><?xml version="1.0" encoding="utf-8"?>
<sst xmlns="http://schemas.openxmlformats.org/spreadsheetml/2006/main" count="41" uniqueCount="36">
  <si>
    <t>Total par 
élève</t>
  </si>
  <si>
    <t>Moyenne 
par élève</t>
  </si>
  <si>
    <t>ASSIDUITE</t>
  </si>
  <si>
    <t>APPRECIATION</t>
  </si>
  <si>
    <t>Total par matière</t>
  </si>
  <si>
    <t>Moyenne par matière</t>
  </si>
  <si>
    <t>Note maximum</t>
  </si>
  <si>
    <t>Note minimum</t>
  </si>
  <si>
    <t>Nombre d'élèves</t>
  </si>
  <si>
    <t>Pour calculer l'appréciation selon la condition suivante :</t>
  </si>
  <si>
    <t>Si la moyenne et l'assiduité &gt;10 afficher Bien</t>
  </si>
  <si>
    <t>Si la moyenne &lt;=10 et l'assiduité &gt;=10 afficher En Progrès</t>
  </si>
  <si>
    <t>Si la moyenne &gt;=10 et l'assiduité &lt;10 afficher Trop d'absences</t>
  </si>
  <si>
    <t>MSP Client OS TSSR 07
1ER TRIMESTRE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</si>
  <si>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</si>
  <si>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</si>
  <si>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</si>
  <si>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</si>
  <si>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</si>
  <si>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</si>
  <si>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</si>
  <si>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</si>
  <si>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</si>
  <si>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Rick Grimes</t>
  </si>
  <si>
    <t>Daryl Dixon</t>
  </si>
  <si>
    <t>Gabriel Stokes</t>
  </si>
  <si>
    <t>Maggie Greene</t>
  </si>
  <si>
    <t>Eugene Porter</t>
  </si>
  <si>
    <t xml:space="preserve">Carol Peletier </t>
  </si>
  <si>
    <t>Rosita Espinosa</t>
  </si>
  <si>
    <t xml:space="preserve">Morgan Jones </t>
  </si>
  <si>
    <t>Si la moyenne et l'assiduité &lt;10 afficher En danger!</t>
  </si>
  <si>
    <t>Physique 
Chimie</t>
  </si>
  <si>
    <t>EPS</t>
  </si>
  <si>
    <t>Conduite de 
véhicule</t>
  </si>
  <si>
    <t>Exercice de
 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</si>
</sst>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mic Sans MS"/>
      <family val="4"/>
    </font>
    <font>
      <b/>
      <sz val="11"/>
      <name val="Calibri Light"/>
      <family val="2"/>
    </font>
    <font>
      <sz val="11"/>
      <name val="Calibri Light"/>
      <family val="2"/>
    </font>
    <font>
      <i/>
      <sz val="11"/>
      <name val="Calibri Light"/>
      <family val="2"/>
    </font>
    <font>
      <u/>
      <sz val="11"/>
      <name val="Calibri Light"/>
      <family val="2"/>
    </font>
    <font>
      <sz val="8"/>
      <name val="Calibri"/>
      <family val="2"/>
      <scheme val="minor"/>
    </font>
    <font>
      <sz val="11.5"/>
      <color theme="1" tint="4.9989318521683403E-2"/>
      <name val="Cambria"/>
      <family val="1"/>
    </font>
    <font>
      <b/>
      <sz val="16"/>
      <name val="Calibri Light"/>
      <family val="2"/>
    </font>
    <font>
      <sz val="12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indexed="26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indexed="26"/>
      </patternFill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808080"/>
      </top>
      <bottom style="medium">
        <color rgb="FF80808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4" fillId="0" borderId="0" xfId="2" applyFont="1"/>
    <xf numFmtId="0" fontId="6" fillId="0" borderId="0" xfId="2" applyFont="1"/>
    <xf numFmtId="43" fontId="4" fillId="3" borderId="3" xfId="1" applyFont="1" applyFill="1" applyBorder="1" applyAlignment="1" applyProtection="1"/>
    <xf numFmtId="43" fontId="4" fillId="5" borderId="3" xfId="1" applyFont="1" applyFill="1" applyBorder="1" applyAlignment="1" applyProtection="1"/>
    <xf numFmtId="0" fontId="4" fillId="2" borderId="0" xfId="2" applyFont="1" applyFill="1"/>
    <xf numFmtId="0" fontId="5" fillId="2" borderId="7" xfId="2" applyFont="1" applyFill="1" applyBorder="1"/>
    <xf numFmtId="43" fontId="4" fillId="3" borderId="7" xfId="1" applyFont="1" applyFill="1" applyBorder="1" applyAlignment="1" applyProtection="1"/>
    <xf numFmtId="43" fontId="4" fillId="3" borderId="1" xfId="1" applyFont="1" applyFill="1" applyBorder="1" applyAlignment="1" applyProtection="1"/>
    <xf numFmtId="43" fontId="4" fillId="3" borderId="8" xfId="1" applyFont="1" applyFill="1" applyBorder="1" applyAlignment="1" applyProtection="1"/>
    <xf numFmtId="0" fontId="5" fillId="2" borderId="3" xfId="2" applyFont="1" applyFill="1" applyBorder="1"/>
    <xf numFmtId="43" fontId="4" fillId="3" borderId="2" xfId="1" applyFont="1" applyFill="1" applyBorder="1" applyAlignment="1" applyProtection="1"/>
    <xf numFmtId="43" fontId="4" fillId="3" borderId="4" xfId="1" applyFont="1" applyFill="1" applyBorder="1" applyAlignment="1" applyProtection="1"/>
    <xf numFmtId="0" fontId="5" fillId="2" borderId="6" xfId="2" applyFont="1" applyFill="1" applyBorder="1"/>
    <xf numFmtId="0" fontId="4" fillId="3" borderId="6" xfId="2" applyFont="1" applyFill="1" applyBorder="1" applyAlignment="1">
      <alignment horizontal="center"/>
    </xf>
    <xf numFmtId="0" fontId="5" fillId="4" borderId="3" xfId="2" applyFont="1" applyFill="1" applyBorder="1"/>
    <xf numFmtId="43" fontId="4" fillId="5" borderId="2" xfId="1" applyFont="1" applyFill="1" applyBorder="1" applyAlignment="1" applyProtection="1"/>
    <xf numFmtId="43" fontId="4" fillId="5" borderId="4" xfId="1" applyFont="1" applyFill="1" applyBorder="1" applyAlignment="1" applyProtection="1"/>
    <xf numFmtId="43" fontId="4" fillId="5" borderId="5" xfId="1" applyFont="1" applyFill="1" applyBorder="1" applyAlignment="1" applyProtection="1"/>
    <xf numFmtId="43" fontId="4" fillId="5" borderId="6" xfId="1" applyFont="1" applyFill="1" applyBorder="1" applyAlignment="1" applyProtection="1"/>
    <xf numFmtId="43" fontId="4" fillId="5" borderId="9" xfId="1" applyFont="1" applyFill="1" applyBorder="1" applyAlignment="1" applyProtection="1"/>
    <xf numFmtId="0" fontId="4" fillId="0" borderId="10" xfId="2" applyFont="1" applyBorder="1" applyAlignment="1">
      <alignment horizontal="center" vertical="center"/>
    </xf>
    <xf numFmtId="0" fontId="3" fillId="4" borderId="10" xfId="2" applyFont="1" applyFill="1" applyBorder="1" applyAlignment="1">
      <alignment horizontal="center" vertical="center" wrapText="1"/>
    </xf>
    <xf numFmtId="0" fontId="4" fillId="4" borderId="10" xfId="2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horizontal="center" vertical="center"/>
    </xf>
    <xf numFmtId="43" fontId="4" fillId="0" borderId="10" xfId="1" applyFont="1" applyFill="1" applyBorder="1" applyAlignment="1" applyProtection="1"/>
    <xf numFmtId="43" fontId="4" fillId="2" borderId="10" xfId="1" applyFont="1" applyFill="1" applyBorder="1" applyAlignment="1" applyProtection="1"/>
    <xf numFmtId="43" fontId="3" fillId="3" borderId="10" xfId="1" applyFont="1" applyFill="1" applyBorder="1" applyAlignment="1" applyProtection="1"/>
    <xf numFmtId="0" fontId="3" fillId="3" borderId="10" xfId="2" applyFont="1" applyFill="1" applyBorder="1" applyAlignment="1">
      <alignment horizontal="center"/>
    </xf>
    <xf numFmtId="43" fontId="4" fillId="4" borderId="10" xfId="1" applyFont="1" applyFill="1" applyBorder="1" applyAlignment="1" applyProtection="1"/>
    <xf numFmtId="43" fontId="3" fillId="5" borderId="10" xfId="1" applyFont="1" applyFill="1" applyBorder="1" applyAlignment="1" applyProtection="1"/>
    <xf numFmtId="0" fontId="3" fillId="5" borderId="10" xfId="2" applyFont="1" applyFill="1" applyBorder="1" applyAlignment="1">
      <alignment horizontal="center"/>
    </xf>
    <xf numFmtId="0" fontId="4" fillId="0" borderId="11" xfId="2" applyFont="1" applyBorder="1"/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/>
    </xf>
    <xf numFmtId="0" fontId="8" fillId="0" borderId="13" xfId="0" applyFont="1" applyBorder="1"/>
    <xf numFmtId="0" fontId="8" fillId="0" borderId="14" xfId="0" applyFont="1" applyBorder="1"/>
    <xf numFmtId="43" fontId="4" fillId="0" borderId="10" xfId="1" applyFont="1" applyBorder="1"/>
    <xf numFmtId="0" fontId="9" fillId="0" borderId="0" xfId="2" applyFont="1" applyAlignment="1">
      <alignment horizontal="center" wrapText="1"/>
    </xf>
    <xf numFmtId="0" fontId="10" fillId="0" borderId="10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</cellXfs>
  <cellStyles count="3">
    <cellStyle name="Milliers" xfId="1" builtinId="3"/>
    <cellStyle name="Normal" xfId="0" builtinId="0"/>
    <cellStyle name="Normal_partie1" xfId="2" xr:uid="{EE297E94-166A-454D-B9F9-CD75BC7541EA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indexed="26"/>
          <bgColor theme="0" tint="-0.249977111117893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8"/>
        </right>
        <top/>
        <bottom style="thin">
          <color indexed="8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indexed="26"/>
          <bgColor theme="0" tint="-0.249977111117893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 style="thin">
          <color indexed="8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indexed="26"/>
          <bgColor theme="0" tint="-0.249977111117893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/>
        <top/>
        <bottom style="thin">
          <color indexed="8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indexed="26"/>
          <bgColor theme="0" tint="-0.249977111117893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/>
        <bottom/>
        <vertical/>
        <horizontal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border diagonalUp="0" diagonalDown="0">
        <left style="thin">
          <color indexed="8"/>
        </left>
        <right style="thin">
          <color indexed="8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EA941-D49B-445F-9106-86891F7E3B74}" name="Tableau1" displayName="Tableau1" ref="A3:I12" totalsRowShown="0" headerRowDxfId="16" dataDxfId="15" headerRowCellStyle="Normal_partie1" dataCellStyle="Normal_partie1">
  <autoFilter ref="A3:I12" xr:uid="{1D811F3B-8B69-42F9-B58B-0777A0F3BF6F}"/>
  <tableColumns count="9">
    <tableColumn id="1" xr3:uid="{18758C79-55C8-4A46-8C14-6F6785554685}" name="Colonne1" dataDxfId="14" dataCellStyle="Normal_partie1"/>
    <tableColumn id="2" xr3:uid="{4F07B83F-63FA-4E29-9462-5F02A778FB5F}" name="Colonne2" dataDxfId="13" dataCellStyle="Normal_partie1"/>
    <tableColumn id="3" xr3:uid="{E7A83EB3-5329-48CF-9EED-53DE679875AB}" name="Colonne3" dataDxfId="12" dataCellStyle="Normal_partie1"/>
    <tableColumn id="4" xr3:uid="{5B9E5133-CDE0-4E70-BC1E-03DCF5A5B9D7}" name="Colonne4" dataDxfId="11" dataCellStyle="Normal_partie1"/>
    <tableColumn id="5" xr3:uid="{D6083EFC-AC12-4028-B816-BB07833DF63D}" name="Colonne5" dataDxfId="10" dataCellStyle="Normal_partie1"/>
    <tableColumn id="6" xr3:uid="{587D9F81-996F-436B-8F3B-93B2DC1C3BFC}" name="Colonne6" dataDxfId="9" dataCellStyle="Normal_partie1"/>
    <tableColumn id="7" xr3:uid="{B77DB3DF-E43B-4924-B9E7-8786C521D195}" name="Colonne7" dataDxfId="8" dataCellStyle="Normal_partie1"/>
    <tableColumn id="8" xr3:uid="{5BA3C5C3-89D1-47D0-833A-87D698F9F172}" name="Colonne8" dataDxfId="7" dataCellStyle="Normal_partie1"/>
    <tableColumn id="9" xr3:uid="{C2A33687-20FF-4991-A55A-87F9013892F7}" name="Colonne9" dataDxfId="6" dataCellStyle="Normal_partie1"/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FD45E6-F351-417B-9D95-244E577C368F}" name="Tableau3" displayName="Tableau3" ref="A14:E19" totalsRowShown="0" headerRowDxfId="5" headerRowCellStyle="Normal_partie1">
  <autoFilter ref="A14:E19" xr:uid="{BA4FA741-3710-401B-8E57-B07E9E93F5C9}"/>
  <tableColumns count="5">
    <tableColumn id="1" xr3:uid="{B8232A8F-95B1-4252-AA44-A8E58CDC1434}" name="Colonne1" dataDxfId="4" dataCellStyle="Normal_partie1"/>
    <tableColumn id="2" xr3:uid="{D6573EAC-1CC2-4B57-8E5E-093439EDCF04}" name="Colonne2" dataDxfId="3" dataCellStyle="Milliers"/>
    <tableColumn id="3" xr3:uid="{9BB02366-D927-4F73-B024-23CEB7466988}" name="Colonne3" dataDxfId="2" dataCellStyle="Milliers"/>
    <tableColumn id="4" xr3:uid="{6EAEE9E7-8752-46B4-8160-9AE565A6E09F}" name="Colonne4" dataDxfId="1" dataCellStyle="Milliers"/>
    <tableColumn id="5" xr3:uid="{D396CBB2-0A0F-4CDE-825B-589CD75E200E}" name="Colonne5" dataDxfId="0" dataCellStyle="Milliers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F19" sqref="F19"/>
    </sheetView>
  </sheetViews>
  <sheetFormatPr baseColWidth="10" defaultColWidth="12.5703125" defaultRowHeight="15" x14ac:dyDescent="0.25"/>
  <cols>
    <col min="1" max="1" width="20.28515625" style="1" customWidth="1"/>
    <col min="2" max="5" width="12.140625" style="1" customWidth="1"/>
    <col min="6" max="6" width="14.5703125" style="1" customWidth="1"/>
    <col min="7" max="7" width="14.140625" style="1" customWidth="1"/>
    <col min="8" max="8" width="12.5703125" style="1"/>
    <col min="9" max="9" width="17.140625" style="1" customWidth="1"/>
    <col min="10" max="16384" width="12.5703125" style="1"/>
  </cols>
  <sheetData>
    <row r="1" spans="1:9" ht="21" x14ac:dyDescent="0.35">
      <c r="A1" s="38" t="s">
        <v>13</v>
      </c>
      <c r="B1" s="38"/>
      <c r="C1" s="38"/>
      <c r="D1" s="38"/>
      <c r="E1" s="38"/>
      <c r="F1" s="38"/>
      <c r="G1" s="38"/>
      <c r="H1" s="38"/>
      <c r="I1" s="38"/>
    </row>
    <row r="3" spans="1:9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 ht="32.25" thickBot="1" x14ac:dyDescent="0.3">
      <c r="A4" s="32"/>
      <c r="B4" s="40" t="s">
        <v>34</v>
      </c>
      <c r="C4" s="21" t="s">
        <v>33</v>
      </c>
      <c r="D4" s="40" t="s">
        <v>35</v>
      </c>
      <c r="E4" s="39" t="s">
        <v>32</v>
      </c>
      <c r="F4" s="22" t="s">
        <v>0</v>
      </c>
      <c r="G4" s="22" t="s">
        <v>1</v>
      </c>
      <c r="H4" s="23" t="s">
        <v>2</v>
      </c>
      <c r="I4" s="24" t="s">
        <v>3</v>
      </c>
    </row>
    <row r="5" spans="1:9" ht="15.75" thickBot="1" x14ac:dyDescent="0.3">
      <c r="A5" s="33" t="s">
        <v>23</v>
      </c>
      <c r="B5" s="25">
        <v>11</v>
      </c>
      <c r="C5" s="25">
        <v>20</v>
      </c>
      <c r="D5" s="25">
        <v>6</v>
      </c>
      <c r="E5" s="26">
        <v>9.5</v>
      </c>
      <c r="F5" s="27">
        <f>SUM(B5:E5)</f>
        <v>46.5</v>
      </c>
      <c r="G5" s="27">
        <f>AVERAGE(B5:E5)</f>
        <v>11.625</v>
      </c>
      <c r="H5" s="26">
        <v>9</v>
      </c>
      <c r="I5" s="28" t="str">
        <f>IF(AND(G5&gt;10,H5&gt;10),"Bien",IF(AND(G5&lt;=10,H5&gt;=10),"En progrès",IF(AND(G5&gt;=10,H5&lt;10),"Trop d'absences","En danger!")))</f>
        <v>Trop d'absences</v>
      </c>
    </row>
    <row r="6" spans="1:9" x14ac:dyDescent="0.25">
      <c r="A6" s="34" t="s">
        <v>24</v>
      </c>
      <c r="B6" s="25">
        <v>11</v>
      </c>
      <c r="C6" s="25">
        <v>9</v>
      </c>
      <c r="D6" s="25">
        <v>15</v>
      </c>
      <c r="E6" s="29">
        <v>17</v>
      </c>
      <c r="F6" s="30">
        <f>SUM(B6:E6)</f>
        <v>52</v>
      </c>
      <c r="G6" s="30">
        <f>AVERAGE(B6:E6)</f>
        <v>13</v>
      </c>
      <c r="H6" s="29">
        <v>8</v>
      </c>
      <c r="I6" s="31" t="str">
        <f t="shared" ref="I6:I12" si="0">IF(AND(G6&gt;10,H6&gt;10),"Bien",IF(AND(G6&lt;=10,H6&gt;=10),"En progrès",IF(AND(G6&gt;=10,H6&lt;10),"Trop d'absences","En danger!")))</f>
        <v>Trop d'absences</v>
      </c>
    </row>
    <row r="7" spans="1:9" x14ac:dyDescent="0.25">
      <c r="A7" s="34" t="s">
        <v>25</v>
      </c>
      <c r="B7" s="25">
        <v>10</v>
      </c>
      <c r="C7" s="25">
        <v>8</v>
      </c>
      <c r="D7" s="25">
        <v>11</v>
      </c>
      <c r="E7" s="26">
        <v>5</v>
      </c>
      <c r="F7" s="27">
        <f>SUM(B7:E7)</f>
        <v>34</v>
      </c>
      <c r="G7" s="27">
        <f>AVERAGE(B7:E7)</f>
        <v>8.5</v>
      </c>
      <c r="H7" s="26">
        <v>12</v>
      </c>
      <c r="I7" s="28" t="str">
        <f t="shared" si="0"/>
        <v>En progrès</v>
      </c>
    </row>
    <row r="8" spans="1:9" x14ac:dyDescent="0.25">
      <c r="A8" s="35" t="s">
        <v>26</v>
      </c>
      <c r="B8" s="25">
        <v>18</v>
      </c>
      <c r="C8" s="25">
        <v>14</v>
      </c>
      <c r="D8" s="25">
        <v>16</v>
      </c>
      <c r="E8" s="29">
        <v>13</v>
      </c>
      <c r="F8" s="30">
        <f>SUM(B8:E8)</f>
        <v>61</v>
      </c>
      <c r="G8" s="30">
        <f>AVERAGE(B8:E8)</f>
        <v>15.25</v>
      </c>
      <c r="H8" s="29">
        <v>12</v>
      </c>
      <c r="I8" s="31" t="str">
        <f t="shared" si="0"/>
        <v>Bien</v>
      </c>
    </row>
    <row r="9" spans="1:9" x14ac:dyDescent="0.25">
      <c r="A9" s="34" t="s">
        <v>27</v>
      </c>
      <c r="B9" s="25">
        <v>15</v>
      </c>
      <c r="C9" s="25">
        <v>15</v>
      </c>
      <c r="D9" s="25">
        <v>11</v>
      </c>
      <c r="E9" s="26">
        <v>15</v>
      </c>
      <c r="F9" s="27">
        <f>SUM(B9:E9)</f>
        <v>56</v>
      </c>
      <c r="G9" s="27">
        <f>AVERAGE(B9:E9)</f>
        <v>14</v>
      </c>
      <c r="H9" s="26">
        <v>15</v>
      </c>
      <c r="I9" s="28" t="str">
        <f t="shared" si="0"/>
        <v>Bien</v>
      </c>
    </row>
    <row r="10" spans="1:9" x14ac:dyDescent="0.25">
      <c r="A10" s="35" t="s">
        <v>28</v>
      </c>
      <c r="B10" s="37">
        <v>9</v>
      </c>
      <c r="C10" s="37">
        <v>9</v>
      </c>
      <c r="D10" s="37">
        <v>9</v>
      </c>
      <c r="E10" s="37">
        <v>9</v>
      </c>
      <c r="F10" s="30">
        <f t="shared" ref="F10:F12" si="1">SUM(B10:E10)</f>
        <v>36</v>
      </c>
      <c r="G10" s="30">
        <f t="shared" ref="G10:G12" si="2">AVERAGE(B10:E10)</f>
        <v>9</v>
      </c>
      <c r="H10" s="29">
        <v>9</v>
      </c>
      <c r="I10" s="31" t="str">
        <f t="shared" si="0"/>
        <v>En danger!</v>
      </c>
    </row>
    <row r="11" spans="1:9" x14ac:dyDescent="0.25">
      <c r="A11" s="34" t="s">
        <v>29</v>
      </c>
      <c r="B11" s="37">
        <v>12</v>
      </c>
      <c r="C11" s="37">
        <v>13</v>
      </c>
      <c r="D11" s="37">
        <v>17</v>
      </c>
      <c r="E11" s="37">
        <v>6</v>
      </c>
      <c r="F11" s="27">
        <f t="shared" si="1"/>
        <v>48</v>
      </c>
      <c r="G11" s="27">
        <f t="shared" si="2"/>
        <v>12</v>
      </c>
      <c r="H11" s="26">
        <v>15</v>
      </c>
      <c r="I11" s="28" t="str">
        <f t="shared" si="0"/>
        <v>Bien</v>
      </c>
    </row>
    <row r="12" spans="1:9" ht="17.25" customHeight="1" x14ac:dyDescent="0.25">
      <c r="A12" s="36" t="s">
        <v>30</v>
      </c>
      <c r="B12" s="37">
        <v>11</v>
      </c>
      <c r="C12" s="37">
        <v>16</v>
      </c>
      <c r="D12" s="37">
        <v>12</v>
      </c>
      <c r="E12" s="37">
        <v>11</v>
      </c>
      <c r="F12" s="30">
        <f t="shared" si="1"/>
        <v>50</v>
      </c>
      <c r="G12" s="30">
        <f t="shared" si="2"/>
        <v>12.5</v>
      </c>
      <c r="H12" s="29">
        <v>15</v>
      </c>
      <c r="I12" s="31" t="str">
        <f t="shared" si="0"/>
        <v>Bien</v>
      </c>
    </row>
    <row r="14" spans="1:9" x14ac:dyDescent="0.25">
      <c r="A14" s="1" t="s">
        <v>14</v>
      </c>
      <c r="B14" s="1" t="s">
        <v>15</v>
      </c>
      <c r="C14" s="1" t="s">
        <v>16</v>
      </c>
      <c r="D14" s="1" t="s">
        <v>17</v>
      </c>
      <c r="E14" s="1" t="s">
        <v>18</v>
      </c>
    </row>
    <row r="15" spans="1:9" x14ac:dyDescent="0.25">
      <c r="A15" s="6" t="s">
        <v>4</v>
      </c>
      <c r="B15" s="7">
        <f>SUM(B5:B12)</f>
        <v>97</v>
      </c>
      <c r="C15" s="8">
        <f>SUM(C5:C12)</f>
        <v>104</v>
      </c>
      <c r="D15" s="7">
        <f>SUM(D5:D12)</f>
        <v>97</v>
      </c>
      <c r="E15" s="9">
        <f>SUM(E5:E12)</f>
        <v>85.5</v>
      </c>
      <c r="F15" s="2" t="s">
        <v>9</v>
      </c>
    </row>
    <row r="16" spans="1:9" x14ac:dyDescent="0.25">
      <c r="A16" s="15" t="s">
        <v>5</v>
      </c>
      <c r="B16" s="4">
        <f>AVERAGE(B5:B12)</f>
        <v>12.125</v>
      </c>
      <c r="C16" s="16">
        <f>AVERAGE(C5:C12)</f>
        <v>13</v>
      </c>
      <c r="D16" s="4">
        <f>AVERAGE(D5:D12)</f>
        <v>12.125</v>
      </c>
      <c r="E16" s="17">
        <f>AVERAGE(E5:E12)</f>
        <v>10.6875</v>
      </c>
      <c r="F16" s="1" t="s">
        <v>10</v>
      </c>
    </row>
    <row r="17" spans="1:6" x14ac:dyDescent="0.25">
      <c r="A17" s="10" t="s">
        <v>6</v>
      </c>
      <c r="B17" s="3">
        <f>MAX(B5:B12)</f>
        <v>18</v>
      </c>
      <c r="C17" s="11">
        <f>MAX(C5:C12)</f>
        <v>20</v>
      </c>
      <c r="D17" s="3">
        <f>MAX(D5:D12)</f>
        <v>17</v>
      </c>
      <c r="E17" s="12">
        <f>MAX(E5:E12)</f>
        <v>17</v>
      </c>
      <c r="F17" s="1" t="s">
        <v>11</v>
      </c>
    </row>
    <row r="18" spans="1:6" x14ac:dyDescent="0.25">
      <c r="A18" s="15" t="s">
        <v>7</v>
      </c>
      <c r="B18" s="4">
        <f>MIN(B5:B12)</f>
        <v>9</v>
      </c>
      <c r="C18" s="18">
        <f>MIN(C5:C12)</f>
        <v>8</v>
      </c>
      <c r="D18" s="19">
        <f>MIN(D5:D12)</f>
        <v>6</v>
      </c>
      <c r="E18" s="20">
        <f>MIN(E5:E12)</f>
        <v>5</v>
      </c>
      <c r="F18" s="1" t="s">
        <v>12</v>
      </c>
    </row>
    <row r="19" spans="1:6" x14ac:dyDescent="0.25">
      <c r="A19" s="13" t="s">
        <v>8</v>
      </c>
      <c r="B19" s="14">
        <f>COUNTA(A5:A12)</f>
        <v>8</v>
      </c>
      <c r="C19" s="5"/>
      <c r="D19" s="5"/>
      <c r="E19" s="5"/>
      <c r="F19" s="1" t="s">
        <v>31</v>
      </c>
    </row>
  </sheetData>
  <mergeCells count="1">
    <mergeCell ref="A1:I1"/>
  </mergeCells>
  <phoneticPr fontId="7" type="noConversion"/>
  <pageMargins left="0.7" right="0.7" top="0.75" bottom="0.75" header="0.3" footer="0.3"/>
  <pageSetup paperSize="9" orientation="portrait" horizontalDpi="300" verticalDpi="30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2F7753D89B74A9E24F557D07B7452" ma:contentTypeVersion="32" ma:contentTypeDescription="Crée un document." ma:contentTypeScope="" ma:versionID="cabb64908cfdf9f3ef5c30bf23ba1659">
  <xsd:schema xmlns:xsd="http://www.w3.org/2001/XMLSchema" xmlns:xs="http://www.w3.org/2001/XMLSchema" xmlns:p="http://schemas.microsoft.com/office/2006/metadata/properties" xmlns:ns2="78b559c1-a9a3-46f6-8543-80a4edf10f41" xmlns:ns3="3f58d33d-3e8b-4975-9783-92ad1c410e87" targetNamespace="http://schemas.microsoft.com/office/2006/metadata/properties" ma:root="true" ma:fieldsID="2102927860a4739265914b25f6338594" ns2:_="" ns3:_="">
    <xsd:import namespace="78b559c1-a9a3-46f6-8543-80a4edf10f41"/>
    <xsd:import namespace="3f58d33d-3e8b-4975-9783-92ad1c410e87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559c1-a9a3-46f6-8543-80a4edf10f41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17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18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19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22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23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25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34" nillable="true" ma:displayName="Tags" ma:internalName="MediaServiceAutoTags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58d33d-3e8b-4975-9783-92ad1c410e87" elementFormDefault="qualified">
    <xsd:import namespace="http://schemas.microsoft.com/office/2006/documentManagement/types"/>
    <xsd:import namespace="http://schemas.microsoft.com/office/infopath/2007/PartnerControls"/>
    <xsd:element name="SharedWithUsers" ma:index="3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8b559c1-a9a3-46f6-8543-80a4edf10f41">
      <UserInfo>
        <DisplayName/>
        <AccountId xsi:nil="true"/>
        <AccountType/>
      </UserInfo>
    </Owner>
    <Math_Settings xmlns="78b559c1-a9a3-46f6-8543-80a4edf10f41" xsi:nil="true"/>
    <AppVersion xmlns="78b559c1-a9a3-46f6-8543-80a4edf10f41" xsi:nil="true"/>
    <DefaultSectionNames xmlns="78b559c1-a9a3-46f6-8543-80a4edf10f41" xsi:nil="true"/>
    <Invited_Members xmlns="78b559c1-a9a3-46f6-8543-80a4edf10f41" xsi:nil="true"/>
    <TeamsChannelId xmlns="78b559c1-a9a3-46f6-8543-80a4edf10f41" xsi:nil="true"/>
    <Invited_Leaders xmlns="78b559c1-a9a3-46f6-8543-80a4edf10f41" xsi:nil="true"/>
    <FolderType xmlns="78b559c1-a9a3-46f6-8543-80a4edf10f41" xsi:nil="true"/>
    <CultureName xmlns="78b559c1-a9a3-46f6-8543-80a4edf10f41" xsi:nil="true"/>
    <Distribution_Groups xmlns="78b559c1-a9a3-46f6-8543-80a4edf10f41" xsi:nil="true"/>
    <Templates xmlns="78b559c1-a9a3-46f6-8543-80a4edf10f41" xsi:nil="true"/>
    <Members xmlns="78b559c1-a9a3-46f6-8543-80a4edf10f41">
      <UserInfo>
        <DisplayName/>
        <AccountId xsi:nil="true"/>
        <AccountType/>
      </UserInfo>
    </Members>
    <Self_Registration_Enabled xmlns="78b559c1-a9a3-46f6-8543-80a4edf10f41" xsi:nil="true"/>
    <Is_Collaboration_Space_Locked xmlns="78b559c1-a9a3-46f6-8543-80a4edf10f41" xsi:nil="true"/>
    <IsNotebookLocked xmlns="78b559c1-a9a3-46f6-8543-80a4edf10f41" xsi:nil="true"/>
    <NotebookType xmlns="78b559c1-a9a3-46f6-8543-80a4edf10f41" xsi:nil="true"/>
    <Leaders xmlns="78b559c1-a9a3-46f6-8543-80a4edf10f41">
      <UserInfo>
        <DisplayName/>
        <AccountId xsi:nil="true"/>
        <AccountType/>
      </UserInfo>
    </Leaders>
    <Member_Groups xmlns="78b559c1-a9a3-46f6-8543-80a4edf10f41">
      <UserInfo>
        <DisplayName/>
        <AccountId xsi:nil="true"/>
        <AccountType/>
      </UserInfo>
    </Member_Groups>
    <Has_Leaders_Only_SectionGroup xmlns="78b559c1-a9a3-46f6-8543-80a4edf10f41" xsi:nil="true"/>
    <LMS_Mappings xmlns="78b559c1-a9a3-46f6-8543-80a4edf10f41" xsi:nil="true"/>
  </documentManagement>
</p:properties>
</file>

<file path=customXml/itemProps1.xml><?xml version="1.0" encoding="utf-8"?>
<ds:datastoreItem xmlns:ds="http://schemas.openxmlformats.org/officeDocument/2006/customXml" ds:itemID="{B54931AA-82E0-4C69-82F1-868F05E196F4}"/>
</file>

<file path=customXml/itemProps2.xml><?xml version="1.0" encoding="utf-8"?>
<ds:datastoreItem xmlns:ds="http://schemas.openxmlformats.org/officeDocument/2006/customXml" ds:itemID="{271E771E-EEAE-4740-A221-76A83214B963}"/>
</file>

<file path=customXml/itemProps3.xml><?xml version="1.0" encoding="utf-8"?>
<ds:datastoreItem xmlns:ds="http://schemas.openxmlformats.org/officeDocument/2006/customXml" ds:itemID="{C975A2E9-CE08-4705-8046-9A3B7C779A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</dc:creator>
  <cp:lastModifiedBy>FX</cp:lastModifiedBy>
  <dcterms:created xsi:type="dcterms:W3CDTF">2015-06-05T18:19:34Z</dcterms:created>
  <dcterms:modified xsi:type="dcterms:W3CDTF">2020-10-16T12:15:38Z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0x0101000562F7753D89B74A9E24F557D07B7452</vt:lpwstr>
  </property>
</Properties>
</file>