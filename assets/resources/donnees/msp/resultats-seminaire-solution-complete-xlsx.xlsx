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51078b890f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euil1" sheetId="1" r:id="R20cbf063e24c4c81"/>
  </x:sheets>
</x:workbook>
</file>

<file path=xl/sharedStrings.xml><?xml version="1.0" encoding="utf-8"?>
<x:sst xmlns:x="http://schemas.openxmlformats.org/spreadsheetml/2006/main">
  <x:si>
    <x:t xml:space="preserve">MSP Client OS TSSR 07
1ER TRIMESTRE</x:t>
  </x:si>
  <x:si>
    <x:t xml:space="preserve">Colonne1</x:t>
  </x:si>
  <x:si>
    <x:t xml:space="preserve">Colonne2</x:t>
  </x:si>
  <x:si>
    <x:t xml:space="preserve">Colonne3</x:t>
  </x:si>
  <x:si>
    <x:t xml:space="preserve">Colonne4</x:t>
  </x:si>
  <x:si>
    <x:t xml:space="preserve">Colonne5</x:t>
  </x:si>
  <x:si>
    <x:t xml:space="preserve">Colonne6</x:t>
  </x:si>
  <x:si>
    <x:t xml:space="preserve">Colonne7</x:t>
  </x:si>
  <x:si>
    <x:t xml:space="preserve">Colonne8</x:t>
  </x:si>
  <x:si>
    <x:t xml:space="preserve">Colonne9</x:t>
  </x:si>
  <x:si>
    <x:t xml:space="preserve">Conduite de 
véhicule</x:t>
  </x:si>
  <x:si>
    <x:t xml:space="preserve">EPS</x:t>
  </x:si>
  <x:si>
    <x:t xml:space="preserve">Exercice de
 tir</x:t>
  </x:si>
  <x:si>
    <x:t xml:space="preserve">Physique 
Chimie</x:t>
  </x:si>
  <x:si>
    <x:t xml:space="preserve">Total par 
élève</x:t>
  </x:si>
  <x:si>
    <x:t xml:space="preserve">Moyenne 
par élève</x:t>
  </x:si>
  <x:si>
    <x:t xml:space="preserve">ASSIDUITE</x:t>
  </x:si>
  <x:si>
    <x:t xml:space="preserve">APPRECIATION</x:t>
  </x:si>
  <x:si>
    <x:t xml:space="preserve">Rick Grimes</x:t>
  </x:si>
  <x:si>
    <x:t xml:space="preserve">Daryl Dixon</x:t>
  </x:si>
  <x:si>
    <x:t xml:space="preserve">Gabriel Stokes</x:t>
  </x:si>
  <x:si>
    <x:t xml:space="preserve">Maggie Greene</x:t>
  </x:si>
  <x:si>
    <x:t xml:space="preserve">Eugene Porter</x:t>
  </x:si>
  <x:si>
    <x:t xml:space="preserve">Carol Peletier </x:t>
  </x:si>
  <x:si>
    <x:t xml:space="preserve">Rosita Espinosa</x:t>
  </x:si>
  <x:si>
    <x:t xml:space="preserve">Morgan Jones </x:t>
  </x:si>
  <x:si>
    <x:t xml:space="preserve">Total par matière</x:t>
  </x:si>
  <x:si>
    <x:t xml:space="preserve">Pour calculer l'appréciation selon la condition suivante :</x:t>
  </x:si>
  <x:si>
    <x:t xml:space="preserve">Moyenne par matière</x:t>
  </x:si>
  <x:si>
    <x:t xml:space="preserve">Si la moyenne et l'assiduité &gt;10 afficher Bien</x:t>
  </x:si>
  <x:si>
    <x:t xml:space="preserve">Note maximum</x:t>
  </x:si>
  <x:si>
    <x:t xml:space="preserve">Si la moyenne &lt;=10 et l'assiduité &gt;=10 afficher En Progrès</x:t>
  </x:si>
  <x:si>
    <x:t xml:space="preserve">Note minimum</x:t>
  </x:si>
  <x:si>
    <x:t xml:space="preserve">Si la moyenne &gt;=10 et l'assiduité &lt;10 afficher Trop d'absences</x:t>
  </x:si>
  <x:si>
    <x:t xml:space="preserve">Nombre d'élèves</x:t>
  </x:si>
  <x:si>
    <x:t xml:space="preserve">Si la moyenne et l'assiduité &lt;10 afficher En danger!</x:t>
  </x:si>
</x:sst>
</file>

<file path=xl/styles.xml><?xml version="1.0" encoding="utf-8"?>
<x:styleSheet xmlns:x="http://schemas.openxmlformats.org/spreadsheetml/2006/main">
  <x:numFmts count="1">
    <x:numFmt numFmtId="43" formatCode="_-* #,##0.00_-;\-* #,##0.00_-;_-* &quot;-&quot;??_-;_-@_-"/>
  </x:numFmts>
  <x:fonts count="11">
    <x:font>
      <x:sz val="11"/>
      <x:color theme="1"/>
      <x:name val="Calibri"/>
    </x:font>
    <x:font>
      <x:sz val="11"/>
      <x:color theme="1"/>
      <x:name val="Calibri"/>
    </x:font>
    <x:font>
      <x:sz val="10"/>
      <x:name val="Comic Sans MS"/>
    </x:font>
    <x:font>
      <x:b/>
      <x:sz val="11"/>
      <x:name val="Calibri Light"/>
    </x:font>
    <x:font>
      <x:sz val="11"/>
      <x:name val="Calibri Light"/>
    </x:font>
    <x:font>
      <x:i/>
      <x:sz val="11"/>
      <x:name val="Calibri Light"/>
    </x:font>
    <x:font>
      <x:sz val="11"/>
      <x:name val="Calibri Light"/>
    </x:font>
    <x:font>
      <x:sz val="8"/>
      <x:name val="Calibri"/>
    </x:font>
    <x:font>
      <x:sz val="11"/>
      <x:color theme="1" tint="0.04999"/>
      <x:name val="Cambria"/>
    </x:font>
    <x:font>
      <x:b/>
      <x:sz val="16"/>
      <x:name val="Calibri Light"/>
    </x:font>
    <x:font>
      <x:sz val="12"/>
      <x:name val="Calibri Light"/>
    </x:font>
  </x:fonts>
  <x:fills count="6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FFC000"/>
      </x:patternFill>
    </x:fill>
    <x:fill>
      <x:patternFill patternType="solid">
        <x:fgColor theme="7" tint="-0.24998"/>
      </x:patternFill>
    </x:fill>
    <x:fill>
      <x:patternFill patternType="solid">
        <x:fgColor theme="7" tint="-0.24998"/>
      </x:patternFill>
    </x:fill>
  </x:fills>
  <x:borders count="15">
    <x:border/>
    <x:border>
      <x:left style="thin">
        <x:color indexed="8"/>
      </x:left>
      <x:top style="thin">
        <x:color indexed="8"/>
      </x:top>
    </x:border>
    <x:border>
      <x:left style="thin">
        <x:color indexed="8"/>
      </x:left>
    </x:border>
    <x:border>
      <x:left style="thin">
        <x:color indexed="8"/>
      </x:left>
      <x:right style="thin">
        <x:color indexed="8"/>
      </x:right>
    </x:border>
    <x:border>
      <x:right style="thin">
        <x:color indexed="8"/>
      </x:right>
    </x:border>
    <x:border>
      <x:left style="thin">
        <x:color indexed="8"/>
      </x:left>
      <x:bottom style="thin">
        <x:color indexed="8"/>
      </x:bottom>
    </x:border>
    <x:border>
      <x:left style="thin">
        <x:color indexed="8"/>
      </x:left>
      <x:right style="thin">
        <x:color indexed="8"/>
      </x:right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</x:border>
    <x:border>
      <x:right style="thin">
        <x:color indexed="8"/>
      </x:right>
      <x:top style="thin">
        <x:color indexed="8"/>
      </x:top>
    </x:border>
    <x:border>
      <x:right style="thin">
        <x:color indexed="8"/>
      </x:right>
      <x:bottom style="thin">
        <x:color indexed="8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top style="medium">
        <x:color rgb="FF808080"/>
      </x:top>
      <x:bottom style="medium">
        <x:color rgb="FF808080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3">
    <x:xf numFmtId="0" fontId="0" fillId="0" borderId="0"/>
    <x:xf numFmtId="43" fontId="1" fillId="0" borderId="0" applyFont="0" applyFill="0" applyBorder="0" applyAlignment="0" applyProtection="0"/>
    <x:xf numFmtId="0" fontId="2" fillId="0" borderId="0"/>
  </x:cellStyleXfs>
  <x:cellXfs count="41">
    <x:xf numFmtId="0" fontId="0" fillId="0" borderId="0" xfId="0"/>
    <x:xf numFmtId="0" fontId="4" fillId="0" borderId="0" xfId="2" applyFont="1"/>
    <x:xf numFmtId="0" fontId="6" fillId="0" borderId="0" xfId="2" applyFont="1"/>
    <x:xf numFmtId="43" fontId="4" fillId="3" borderId="3" xfId="1" applyFont="1" applyFill="1" applyBorder="1" applyAlignment="1"/>
    <x:xf numFmtId="43" fontId="4" fillId="5" borderId="3" xfId="1" applyFont="1" applyFill="1" applyBorder="1" applyAlignment="1"/>
    <x:xf numFmtId="0" fontId="4" fillId="2" borderId="0" xfId="2" applyFont="1" applyFill="1"/>
    <x:xf numFmtId="0" fontId="5" fillId="2" borderId="7" xfId="2" applyFont="1" applyFill="1" applyBorder="1"/>
    <x:xf numFmtId="43" fontId="4" fillId="3" borderId="7" xfId="1" applyFont="1" applyFill="1" applyBorder="1" applyAlignment="1"/>
    <x:xf numFmtId="43" fontId="4" fillId="3" borderId="1" xfId="1" applyFont="1" applyFill="1" applyBorder="1" applyAlignment="1"/>
    <x:xf numFmtId="43" fontId="4" fillId="3" borderId="8" xfId="1" applyFont="1" applyFill="1" applyBorder="1" applyAlignment="1"/>
    <x:xf numFmtId="0" fontId="5" fillId="2" borderId="3" xfId="2" applyFont="1" applyFill="1" applyBorder="1"/>
    <x:xf numFmtId="43" fontId="4" fillId="3" borderId="2" xfId="1" applyFont="1" applyFill="1" applyBorder="1" applyAlignment="1"/>
    <x:xf numFmtId="43" fontId="4" fillId="3" borderId="4" xfId="1" applyFont="1" applyFill="1" applyBorder="1" applyAlignment="1"/>
    <x:xf numFmtId="0" fontId="5" fillId="2" borderId="6" xfId="2" applyFont="1" applyFill="1" applyBorder="1"/>
    <x:xf numFmtId="0" fontId="4" fillId="3" borderId="6" xfId="2" applyFont="1" applyFill="1" applyBorder="1" applyAlignment="1">
      <x:alignment horizontal="center"/>
    </x:xf>
    <x:xf numFmtId="0" fontId="5" fillId="4" borderId="3" xfId="2" applyFont="1" applyFill="1" applyBorder="1"/>
    <x:xf numFmtId="43" fontId="4" fillId="5" borderId="2" xfId="1" applyFont="1" applyFill="1" applyBorder="1" applyAlignment="1"/>
    <x:xf numFmtId="43" fontId="4" fillId="5" borderId="4" xfId="1" applyFont="1" applyFill="1" applyBorder="1" applyAlignment="1"/>
    <x:xf numFmtId="43" fontId="4" fillId="5" borderId="5" xfId="1" applyFont="1" applyFill="1" applyBorder="1" applyAlignment="1"/>
    <x:xf numFmtId="43" fontId="4" fillId="5" borderId="6" xfId="1" applyFont="1" applyFill="1" applyBorder="1" applyAlignment="1"/>
    <x:xf numFmtId="43" fontId="4" fillId="5" borderId="9" xfId="1" applyFont="1" applyFill="1" applyBorder="1" applyAlignment="1"/>
    <x:xf numFmtId="0" fontId="4" fillId="0" borderId="10" xfId="2" applyFont="1" applyBorder="1" applyAlignment="1">
      <x:alignment horizontal="center" vertical="center"/>
    </x:xf>
    <x:xf numFmtId="0" fontId="3" fillId="4" borderId="10" xfId="2" applyFont="1" applyFill="1" applyBorder="1" applyAlignment="1">
      <x:alignment horizontal="center" vertical="center" wrapText="1"/>
    </x:xf>
    <x:xf numFmtId="0" fontId="4" fillId="4" borderId="10" xfId="2" applyFont="1" applyFill="1" applyBorder="1" applyAlignment="1">
      <x:alignment horizontal="center" vertical="center"/>
    </x:xf>
    <x:xf numFmtId="0" fontId="3" fillId="4" borderId="10" xfId="2" applyFont="1" applyFill="1" applyBorder="1" applyAlignment="1">
      <x:alignment horizontal="center" vertical="center"/>
    </x:xf>
    <x:xf numFmtId="43" fontId="4" fillId="0" borderId="10" xfId="1" applyFont="1" applyFill="1" applyBorder="1" applyAlignment="1"/>
    <x:xf numFmtId="43" fontId="4" fillId="2" borderId="10" xfId="1" applyFont="1" applyFill="1" applyBorder="1" applyAlignment="1"/>
    <x:xf numFmtId="43" fontId="3" fillId="3" borderId="10" xfId="1" applyFont="1" applyFill="1" applyBorder="1" applyAlignment="1"/>
    <x:xf numFmtId="0" fontId="3" fillId="3" borderId="10" xfId="2" applyFont="1" applyFill="1" applyBorder="1" applyAlignment="1">
      <x:alignment horizontal="center"/>
    </x:xf>
    <x:xf numFmtId="43" fontId="4" fillId="4" borderId="10" xfId="1" applyFont="1" applyFill="1" applyBorder="1" applyAlignment="1"/>
    <x:xf numFmtId="43" fontId="3" fillId="5" borderId="10" xfId="1" applyFont="1" applyFill="1" applyBorder="1" applyAlignment="1"/>
    <x:xf numFmtId="0" fontId="3" fillId="5" borderId="10" xfId="2" applyFont="1" applyFill="1" applyBorder="1" applyAlignment="1">
      <x:alignment horizontal="center"/>
    </x:xf>
    <x:xf numFmtId="0" fontId="4" fillId="0" borderId="11" xfId="2" applyFont="1" applyBorder="1"/>
    <x:xf numFmtId="0" fontId="8" fillId="0" borderId="12" xfId="0" applyFont="1" applyBorder="1" applyAlignment="1">
      <x:alignment vertical="center" wrapText="1"/>
    </x:xf>
    <x:xf numFmtId="0" fontId="8" fillId="0" borderId="13" xfId="0" applyFont="1" applyBorder="1" applyAlignment="1">
      <x:alignment vertical="center"/>
    </x:xf>
    <x:xf numFmtId="0" fontId="8" fillId="0" borderId="13" xfId="0" applyFont="1" applyBorder="1"/>
    <x:xf numFmtId="0" fontId="8" fillId="0" borderId="14" xfId="0" applyFont="1" applyBorder="1"/>
    <x:xf numFmtId="43" fontId="4" fillId="0" borderId="10" xfId="1" applyFont="1" applyBorder="1"/>
    <x:xf numFmtId="0" fontId="10" fillId="0" borderId="10" xfId="2" applyFont="1" applyBorder="1" applyAlignment="1">
      <x:alignment horizontal="center" vertical="center" wrapText="1"/>
    </x:xf>
    <x:xf numFmtId="0" fontId="4" fillId="0" borderId="10" xfId="2" applyFont="1" applyBorder="1" applyAlignment="1">
      <x:alignment horizontal="center" vertical="center" wrapText="1"/>
    </x:xf>
    <x:xf numFmtId="0" fontId="9" fillId="0" borderId="0" xfId="2" applyFont="1" applyAlignment="1">
      <x:alignment horizontal="center" wrapText="1"/>
    </x:xf>
  </x:cellXfs>
  <x:cellStyles count="3">
    <x:cellStyle name="Milliers" xfId="1"/>
    <x:cellStyle name="Normal" xfId="0"/>
    <x:cellStyle name="Normal_partie1" xfId="2"/>
  </x:cellStyles>
  <x:dxfs count="17">
    <x:dxf>
      <x:font>
        <x:u val="none"/>
        <x:sz val="11"/>
        <x:color auto="1"/>
        <x:name val="Calibri Light"/>
        <x:family val="2"/>
        <x:scheme val="none"/>
      </x:font>
      <x:fill>
        <x:patternFill>
          <x:bgColor indexed="26"/>
        </x:patternFill>
      </x:fill>
      <x:border>
        <x:left/>
        <x:right style="thin">
          <x:color indexed="8"/>
        </x:right>
        <x:top/>
        <x:bottom style="thin">
          <x:color indexed="8"/>
        </x:bottom>
      </x:border>
    </x:dxf>
    <x:dxf>
      <x:font>
        <x:u val="none"/>
        <x:sz val="11"/>
        <x:color auto="1"/>
        <x:name val="Calibri Light"/>
        <x:family val="2"/>
        <x:scheme val="none"/>
      </x:font>
      <x:fill>
        <x:patternFill>
          <x:bgColor indexed="26"/>
        </x:patternFill>
      </x:fill>
      <x:border>
        <x:left style="thin">
          <x:color indexed="8"/>
        </x:left>
        <x:right style="thin">
          <x:color indexed="8"/>
        </x:right>
        <x:top/>
        <x:bottom style="thin">
          <x:color indexed="8"/>
        </x:bottom>
      </x:border>
    </x:dxf>
    <x:dxf>
      <x:font>
        <x:u val="none"/>
        <x:sz val="11"/>
        <x:color auto="1"/>
        <x:name val="Calibri Light"/>
        <x:family val="2"/>
        <x:scheme val="none"/>
      </x:font>
      <x:fill>
        <x:patternFill>
          <x:bgColor indexed="26"/>
        </x:patternFill>
      </x:fill>
      <x:border>
        <x:left style="thin">
          <x:color indexed="8"/>
        </x:left>
        <x:right/>
        <x:top/>
        <x:bottom style="thin">
          <x:color indexed="8"/>
        </x:bottom>
      </x:border>
    </x:dxf>
    <x:dxf>
      <x:font>
        <x:u val="none"/>
        <x:sz val="11"/>
        <x:color auto="1"/>
        <x:name val="Calibri Light"/>
        <x:family val="2"/>
        <x:scheme val="none"/>
      </x:font>
      <x:fill>
        <x:patternFill>
          <x:bgColor indexed="26"/>
        </x:patternFill>
      </x:fill>
      <x:border>
        <x:left style="thin">
          <x:color indexed="8"/>
        </x:left>
        <x:right style="thin">
          <x:color indexed="8"/>
        </x:right>
        <x:top/>
        <x:bottom/>
      </x:border>
    </x:dxf>
    <x:dxf>
      <x:font>
        <x:i/>
        <x:u val="none"/>
        <x:sz val="11"/>
        <x:color auto="1"/>
        <x:name val="Calibri Light"/>
        <x:family val="2"/>
        <x:scheme val="none"/>
      </x:font>
      <x:border>
        <x:left style="thin">
          <x:color indexed="8"/>
        </x:left>
        <x:right style="thin">
          <x:color indexed="8"/>
        </x:right>
        <x:top/>
        <x:bottom/>
      </x:border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  <x:dxf>
      <x:font>
        <x:u val="none"/>
        <x:sz val="11"/>
        <x:color auto="1"/>
        <x:name val="Calibri Light"/>
        <x:family val="2"/>
        <x:scheme val="non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847dc0cd649f1" /><Relationship Type="http://schemas.openxmlformats.org/officeDocument/2006/relationships/theme" Target="/xl/theme/theme1.xml" Id="Rf511c123589e4024" /><Relationship Type="http://schemas.openxmlformats.org/officeDocument/2006/relationships/sharedStrings" Target="/xl/sharedStrings.xml" Id="R6878e583d72d479f" /><Relationship Type="http://schemas.openxmlformats.org/officeDocument/2006/relationships/worksheet" Target="/xl/worksheets/sheet1.xml" Id="R20cbf063e24c4c81" /></Relationships>
</file>

<file path=xl/tables/table1.xml><?xml version="1.0" encoding="utf-8"?>
<x:table xmlns:x="http://schemas.openxmlformats.org/spreadsheetml/2006/main" id="1" name="Tableau1" displayName="Tableau1" ref="A3:I12">
  <x:autoFilter ref="A3:I12"/>
  <x:tableColumns count="9">
    <x:tableColumn id="1" name="Colonne1"/>
    <x:tableColumn id="2" name="Colonne2"/>
    <x:tableColumn id="3" name="Colonne3"/>
    <x:tableColumn id="4" name="Colonne4"/>
    <x:tableColumn id="5" name="Colonne5"/>
    <x:tableColumn id="6" name="Colonne6"/>
    <x:tableColumn id="7" name="Colonne7"/>
    <x:tableColumn id="8" name="Colonne8"/>
    <x:tableColumn id="9" name="Colonne9"/>
  </x:tableColumns>
  <x:tableStyleInfo name="TableStyleDark5" showRowStripes="1"/>
</x:table>
</file>

<file path=xl/tables/table2.xml><?xml version="1.0" encoding="utf-8"?>
<x:table xmlns:x="http://schemas.openxmlformats.org/spreadsheetml/2006/main" id="3" name="Tableau3" displayName="Tableau3" ref="A14:E19">
  <x:autoFilter ref="A14:E19"/>
  <x:tableColumns count="5">
    <x:tableColumn id="1" name="Colonne1"/>
    <x:tableColumn id="2" name="Colonne2"/>
    <x:tableColumn id="3" name="Colonne3"/>
    <x:tableColumn id="4" name="Colonne4"/>
    <x:tableColumn id="5" name="Colonne5"/>
  </x:tableColumns>
  <x:tableStyleInfo name="TableStyleDark5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3ad77823dc44bb" /><Relationship Type="http://schemas.openxmlformats.org/officeDocument/2006/relationships/table" Target="/xl/tables/table2.xml" Id="R4c90e14105704fc5" /></Relationships>
</file>

<file path=xl/worksheets/sheet1.xml><?xml version="1.0" encoding="utf-8"?>
<x:worksheet xmlns:x="http://schemas.openxmlformats.org/spreadsheetml/2006/main">
  <x:sheetFormatPr baseColWidth="10" defaultColWidth="12.5703125" defaultRowHeight="15"/>
  <x:cols>
    <x:col min="1" max="1" width="20.28515625" style="1" customWidth="1"/>
    <x:col min="2" max="5" width="12.140625" style="1" customWidth="1"/>
    <x:col min="6" max="6" width="14.5703125" style="1" customWidth="1"/>
    <x:col min="7" max="7" width="14.140625" style="1" customWidth="1"/>
    <x:col min="8" max="8" width="12.5703125" style="1" customWidth="0"/>
    <x:col min="9" max="9" width="17.140625" style="1" customWidth="1"/>
    <x:col min="10" max="16384" width="12.5703125" style="1" customWidth="0"/>
  </x:cols>
  <x:sheetData>
    <x:row r="1" ht="21">
      <x:c r="A1" s="40" t="s">
        <x:v>0</x:v>
      </x:c>
      <x:c r="B1" s="40"/>
      <x:c r="C1" s="40"/>
      <x:c r="D1" s="40"/>
      <x:c r="E1" s="40"/>
      <x:c r="F1" s="40"/>
      <x:c r="G1" s="40"/>
      <x:c r="H1" s="40"/>
      <x:c r="I1" s="40"/>
    </x:row>
    <x:row r="3">
      <x:c r="A3" s="1" t="s">
        <x:v>1</x:v>
      </x:c>
      <x:c r="B3" s="1" t="s">
        <x:v>2</x:v>
      </x:c>
      <x:c r="C3" s="1" t="s">
        <x:v>3</x:v>
      </x:c>
      <x:c r="D3" s="1" t="s">
        <x:v>4</x:v>
      </x:c>
      <x:c r="E3" s="1" t="s">
        <x:v>5</x:v>
      </x:c>
      <x:c r="F3" s="1" t="s">
        <x:v>6</x:v>
      </x:c>
      <x:c r="G3" s="1" t="s">
        <x:v>7</x:v>
      </x:c>
      <x:c r="H3" s="1" t="s">
        <x:v>8</x:v>
      </x:c>
      <x:c r="I3" s="1" t="s">
        <x:v>9</x:v>
      </x:c>
    </x:row>
    <x:row r="4" ht="32.25">
      <x:c r="A4" s="32"/>
      <x:c r="B4" s="39" t="s">
        <x:v>10</x:v>
      </x:c>
      <x:c r="C4" s="21" t="s">
        <x:v>11</x:v>
      </x:c>
      <x:c r="D4" s="39" t="s">
        <x:v>12</x:v>
      </x:c>
      <x:c r="E4" s="38" t="s">
        <x:v>13</x:v>
      </x:c>
      <x:c r="F4" s="22" t="s">
        <x:v>14</x:v>
      </x:c>
      <x:c r="G4" s="22" t="s">
        <x:v>15</x:v>
      </x:c>
      <x:c r="H4" s="23" t="s">
        <x:v>16</x:v>
      </x:c>
      <x:c r="I4" s="24" t="s">
        <x:v>17</x:v>
      </x:c>
    </x:row>
    <x:row r="5" ht="15.75">
      <x:c r="A5" s="33" t="s">
        <x:v>18</x:v>
      </x:c>
      <x:c r="B5" s="25">
        <x:v>11</x:v>
      </x:c>
      <x:c r="C5" s="25">
        <x:v>20</x:v>
      </x:c>
      <x:c r="D5" s="25">
        <x:v>6</x:v>
      </x:c>
      <x:c r="E5" s="26">
        <x:v>9.5</x:v>
      </x:c>
      <x:c r="F5" s="27" t="n">
        <x:f>SUM(B5:E5)</x:f>
        <x:v>46.5</x:v>
      </x:c>
      <x:c r="G5" s="27" t="n">
        <x:f>AVERAGE(B5:E5)</x:f>
        <x:v>11.625</x:v>
      </x:c>
      <x:c r="H5" s="26">
        <x:v>9</x:v>
      </x:c>
      <x:c r="I5" s="28" t="str">
        <x:f>IF(AND(G5&gt;10,H5&gt;10),"Bien",IF(AND(G5&lt;=10,H5&gt;=10),"En progrès",IF(AND(G5&gt;=10,H5&lt;10),"Trop d'absences","En danger!")))</x:f>
        <x:v>Trop d'absences</x:v>
      </x:c>
    </x:row>
    <x:row r="6">
      <x:c r="A6" s="34" t="s">
        <x:v>19</x:v>
      </x:c>
      <x:c r="B6" s="25">
        <x:v>11</x:v>
      </x:c>
      <x:c r="C6" s="25">
        <x:v>9</x:v>
      </x:c>
      <x:c r="D6" s="25">
        <x:v>15</x:v>
      </x:c>
      <x:c r="E6" s="29">
        <x:v>17</x:v>
      </x:c>
      <x:c r="F6" s="30" t="n">
        <x:f>SUM(B6:E6)</x:f>
        <x:v>52</x:v>
      </x:c>
      <x:c r="G6" s="30" t="n">
        <x:f>AVERAGE(B6:E6)</x:f>
        <x:v>13</x:v>
      </x:c>
      <x:c r="H6" s="29">
        <x:v>8</x:v>
      </x:c>
      <x:c r="I6" s="31" t="str">
        <x:f>IF(AND(G6&gt;10,H6&gt;10),"Bien",IF(AND(G6&lt;=10,H6&gt;=10),"En progrès",IF(AND(G6&gt;=10,H6&lt;10),"Trop d'absences","En danger!")))</x:f>
        <x:v>Trop d'absences</x:v>
      </x:c>
    </x:row>
    <x:row r="7">
      <x:c r="A7" s="34" t="s">
        <x:v>20</x:v>
      </x:c>
      <x:c r="B7" s="25">
        <x:v>10</x:v>
      </x:c>
      <x:c r="C7" s="25">
        <x:v>8</x:v>
      </x:c>
      <x:c r="D7" s="25">
        <x:v>11</x:v>
      </x:c>
      <x:c r="E7" s="26">
        <x:v>5</x:v>
      </x:c>
      <x:c r="F7" s="27" t="n">
        <x:f>SUM(B7:E7)</x:f>
        <x:v>34</x:v>
      </x:c>
      <x:c r="G7" s="27" t="n">
        <x:f>AVERAGE(B7:E7)</x:f>
        <x:v>8.5</x:v>
      </x:c>
      <x:c r="H7" s="26">
        <x:v>12</x:v>
      </x:c>
      <x:c r="I7" s="28" t="str">
        <x:f>IF(AND(G7&gt;10,H7&gt;10),"Bien",IF(AND(G7&lt;=10,H7&gt;=10),"En progrès",IF(AND(G7&gt;=10,H7&lt;10),"Trop d'absences","En danger!")))</x:f>
        <x:v>En progrès</x:v>
      </x:c>
    </x:row>
    <x:row r="8">
      <x:c r="A8" s="35" t="s">
        <x:v>21</x:v>
      </x:c>
      <x:c r="B8" s="25">
        <x:v>18</x:v>
      </x:c>
      <x:c r="C8" s="25">
        <x:v>14</x:v>
      </x:c>
      <x:c r="D8" s="25">
        <x:v>16</x:v>
      </x:c>
      <x:c r="E8" s="29">
        <x:v>13</x:v>
      </x:c>
      <x:c r="F8" s="30" t="n">
        <x:f>SUM(B8:E8)</x:f>
        <x:v>61</x:v>
      </x:c>
      <x:c r="G8" s="30" t="n">
        <x:f>AVERAGE(B8:E8)</x:f>
        <x:v>15.25</x:v>
      </x:c>
      <x:c r="H8" s="29">
        <x:v>12</x:v>
      </x:c>
      <x:c r="I8" s="31" t="str">
        <x:f>IF(AND(G8&gt;10,H8&gt;10),"Bien",IF(AND(G8&lt;=10,H8&gt;=10),"En progrès",IF(AND(G8&gt;=10,H8&lt;10),"Trop d'absences","En danger!")))</x:f>
        <x:v>Bien</x:v>
      </x:c>
    </x:row>
    <x:row r="9">
      <x:c r="A9" s="34" t="s">
        <x:v>22</x:v>
      </x:c>
      <x:c r="B9" s="25">
        <x:v>15</x:v>
      </x:c>
      <x:c r="C9" s="25">
        <x:v>15</x:v>
      </x:c>
      <x:c r="D9" s="25">
        <x:v>11</x:v>
      </x:c>
      <x:c r="E9" s="26">
        <x:v>15</x:v>
      </x:c>
      <x:c r="F9" s="27" t="n">
        <x:f>SUM(B9:E9)</x:f>
        <x:v>56</x:v>
      </x:c>
      <x:c r="G9" s="27" t="n">
        <x:f>AVERAGE(B9:E9)</x:f>
        <x:v>14</x:v>
      </x:c>
      <x:c r="H9" s="26">
        <x:v>15</x:v>
      </x:c>
      <x:c r="I9" s="28" t="str">
        <x:f>IF(AND(G9&gt;10,H9&gt;10),"Bien",IF(AND(G9&lt;=10,H9&gt;=10),"En progrès",IF(AND(G9&gt;=10,H9&lt;10),"Trop d'absences","En danger!")))</x:f>
        <x:v>Bien</x:v>
      </x:c>
    </x:row>
    <x:row r="10">
      <x:c r="A10" s="35" t="s">
        <x:v>23</x:v>
      </x:c>
      <x:c r="B10" s="37">
        <x:v>9</x:v>
      </x:c>
      <x:c r="C10" s="37">
        <x:v>9</x:v>
      </x:c>
      <x:c r="D10" s="37">
        <x:v>9</x:v>
      </x:c>
      <x:c r="E10" s="37">
        <x:v>9</x:v>
      </x:c>
      <x:c r="F10" s="30" t="n">
        <x:f>SUM(B10:E10)</x:f>
        <x:v>36</x:v>
      </x:c>
      <x:c r="G10" s="30" t="n">
        <x:f>AVERAGE(B10:E10)</x:f>
        <x:v>9</x:v>
      </x:c>
      <x:c r="H10" s="29">
        <x:v>9</x:v>
      </x:c>
      <x:c r="I10" s="31" t="str">
        <x:f>IF(AND(G10&gt;10,H10&gt;10),"Bien",IF(AND(G10&lt;=10,H10&gt;=10),"En progrès",IF(AND(G10&gt;=10,H10&lt;10),"Trop d'absences","En danger!")))</x:f>
        <x:v>En danger!</x:v>
      </x:c>
    </x:row>
    <x:row r="11">
      <x:c r="A11" s="34" t="s">
        <x:v>24</x:v>
      </x:c>
      <x:c r="B11" s="37">
        <x:v>12</x:v>
      </x:c>
      <x:c r="C11" s="37">
        <x:v>13</x:v>
      </x:c>
      <x:c r="D11" s="37">
        <x:v>17</x:v>
      </x:c>
      <x:c r="E11" s="37">
        <x:v>6</x:v>
      </x:c>
      <x:c r="F11" s="27" t="n">
        <x:f>SUM(B11:E11)</x:f>
        <x:v>48</x:v>
      </x:c>
      <x:c r="G11" s="27" t="n">
        <x:f>AVERAGE(B11:E11)</x:f>
        <x:v>12</x:v>
      </x:c>
      <x:c r="H11" s="26">
        <x:v>15</x:v>
      </x:c>
      <x:c r="I11" s="28" t="str">
        <x:f>IF(AND(G11&gt;10,H11&gt;10),"Bien",IF(AND(G11&lt;=10,H11&gt;=10),"En progrès",IF(AND(G11&gt;=10,H11&lt;10),"Trop d'absences","En danger!")))</x:f>
        <x:v>Bien</x:v>
      </x:c>
    </x:row>
    <x:row r="12" ht="17.25" customHeight="1">
      <x:c r="A12" s="36" t="s">
        <x:v>25</x:v>
      </x:c>
      <x:c r="B12" s="37">
        <x:v>11</x:v>
      </x:c>
      <x:c r="C12" s="37">
        <x:v>16</x:v>
      </x:c>
      <x:c r="D12" s="37">
        <x:v>12</x:v>
      </x:c>
      <x:c r="E12" s="37">
        <x:v>11</x:v>
      </x:c>
      <x:c r="F12" s="30" t="n">
        <x:f>SUM(B12:E12)</x:f>
        <x:v>50</x:v>
      </x:c>
      <x:c r="G12" s="30" t="n">
        <x:f>AVERAGE(B12:E12)</x:f>
        <x:v>12.5</x:v>
      </x:c>
      <x:c r="H12" s="29">
        <x:v>15</x:v>
      </x:c>
      <x:c r="I12" s="31" t="str">
        <x:f>IF(AND(G12&gt;10,H12&gt;10),"Bien",IF(AND(G12&lt;=10,H12&gt;=10),"En progrès",IF(AND(G12&gt;=10,H12&lt;10),"Trop d'absences","En danger!")))</x:f>
        <x:v>Bien</x:v>
      </x:c>
    </x:row>
    <x:row r="14">
      <x:c r="A14" s="1" t="s">
        <x:v>1</x:v>
      </x:c>
      <x:c r="B14" s="1" t="s">
        <x:v>2</x:v>
      </x:c>
      <x:c r="C14" s="1" t="s">
        <x:v>3</x:v>
      </x:c>
      <x:c r="D14" s="1" t="s">
        <x:v>4</x:v>
      </x:c>
      <x:c r="E14" s="1" t="s">
        <x:v>5</x:v>
      </x:c>
    </x:row>
    <x:row r="15">
      <x:c r="A15" s="6" t="s">
        <x:v>26</x:v>
      </x:c>
      <x:c r="B15" s="7" t="n">
        <x:f>SUM(B5:B12)</x:f>
        <x:v>97</x:v>
      </x:c>
      <x:c r="C15" s="8" t="n">
        <x:f>SUM(C5:C12)</x:f>
        <x:v>104</x:v>
      </x:c>
      <x:c r="D15" s="7" t="n">
        <x:f>SUM(D5:D12)</x:f>
        <x:v>97</x:v>
      </x:c>
      <x:c r="E15" s="9" t="n">
        <x:f>SUM(E5:E12)</x:f>
        <x:v>85.5</x:v>
      </x:c>
      <x:c r="F15" s="2" t="s">
        <x:v>27</x:v>
      </x:c>
    </x:row>
    <x:row r="16">
      <x:c r="A16" s="15" t="s">
        <x:v>28</x:v>
      </x:c>
      <x:c r="B16" s="4" t="n">
        <x:f>AVERAGE(B5:B12)</x:f>
        <x:v>12.125</x:v>
      </x:c>
      <x:c r="C16" s="16" t="n">
        <x:f>AVERAGE(C5:C12)</x:f>
        <x:v>13</x:v>
      </x:c>
      <x:c r="D16" s="4" t="n">
        <x:f>AVERAGE(D5:D12)</x:f>
        <x:v>12.125</x:v>
      </x:c>
      <x:c r="E16" s="17" t="n">
        <x:f>AVERAGE(E5:E12)</x:f>
        <x:v>10.6875</x:v>
      </x:c>
      <x:c r="F16" s="1" t="s">
        <x:v>29</x:v>
      </x:c>
    </x:row>
    <x:row r="17">
      <x:c r="A17" s="10" t="s">
        <x:v>30</x:v>
      </x:c>
      <x:c r="B17" s="3" t="n">
        <x:f>MAX(B5:B12)</x:f>
        <x:v>18</x:v>
      </x:c>
      <x:c r="C17" s="11" t="n">
        <x:f>MAX(C5:C12)</x:f>
        <x:v>20</x:v>
      </x:c>
      <x:c r="D17" s="3" t="n">
        <x:f>MAX(D5:D12)</x:f>
        <x:v>17</x:v>
      </x:c>
      <x:c r="E17" s="12" t="n">
        <x:f>MAX(E5:E12)</x:f>
        <x:v>17</x:v>
      </x:c>
      <x:c r="F17" s="1" t="s">
        <x:v>31</x:v>
      </x:c>
    </x:row>
    <x:row r="18">
      <x:c r="A18" s="15" t="s">
        <x:v>32</x:v>
      </x:c>
      <x:c r="B18" s="4" t="n">
        <x:f>MIN(B5:B12)</x:f>
        <x:v>9</x:v>
      </x:c>
      <x:c r="C18" s="18" t="n">
        <x:f>MIN(C5:C12)</x:f>
        <x:v>8</x:v>
      </x:c>
      <x:c r="D18" s="19" t="n">
        <x:f>MIN(D5:D12)</x:f>
        <x:v>6</x:v>
      </x:c>
      <x:c r="E18" s="20" t="n">
        <x:f>MIN(E5:E12)</x:f>
        <x:v>5</x:v>
      </x:c>
      <x:c r="F18" s="1" t="s">
        <x:v>33</x:v>
      </x:c>
    </x:row>
    <x:row r="19">
      <x:c r="A19" s="13" t="s">
        <x:v>34</x:v>
      </x:c>
      <x:c r="B19" s="14" t="n">
        <x:f>COUNTA(A5:A12)</x:f>
        <x:v>8</x:v>
      </x:c>
      <x:c r="C19" s="5"/>
      <x:c r="D19" s="5"/>
      <x:c r="E19" s="5"/>
      <x:c r="F19" s="1" t="s">
        <x:v>35</x:v>
      </x:c>
    </x:row>
  </x:sheetData>
  <x:mergeCells>
    <x:mergeCell ref="A1:I1"/>
  </x:mergeCells>
  <x:pageMargins left="0.7" right="0.7" top="0.75" bottom="0.75" header="0.3" footer="0.3"/>
  <x:tableParts count="2">
    <x:tablePart xmlns:r="http://schemas.openxmlformats.org/officeDocument/2006/relationships" r:id="Rb13ad77823dc44bb"/>
    <x:tablePart xmlns:r="http://schemas.openxmlformats.org/officeDocument/2006/relationships" r:id="R4c90e14105704fc5"/>
  </x:tableParts>
</x:worksheet>
</file>