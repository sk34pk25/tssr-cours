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kala\OneDrive\Bureau\ENI TSSR\Microsoft 365 - Outils collaboratifs\Module 3\"/>
    </mc:Choice>
  </mc:AlternateContent>
  <xr:revisionPtr revIDLastSave="0" documentId="13_ncr:1_{B9911DBE-6829-4E54-820F-2F3E31425AE9}" xr6:coauthVersionLast="47" xr6:coauthVersionMax="47" xr10:uidLastSave="{00000000-0000-0000-0000-000000000000}"/>
  <bookViews>
    <workbookView xWindow="22740" yWindow="0" windowWidth="28965" windowHeight="20985" tabRatio="723" xr2:uid="{00000000-000D-0000-FFFF-FFFF00000000}"/>
  </bookViews>
  <sheets>
    <sheet name="Liste des clients" sheetId="1" r:id="rId1"/>
    <sheet name="Catalogue des produits" sheetId="4" r:id="rId2"/>
    <sheet name="Liste des produits vendus " sheetId="2" r:id="rId3"/>
    <sheet name="Total des ventes par clients" sheetId="3" r:id="rId4"/>
  </sheets>
  <definedNames>
    <definedName name="Achats">'Liste des produits vendus '!$B$5:$I$40</definedName>
    <definedName name="Clients">'Liste des clients'!$B$5:$I$21</definedName>
    <definedName name="Commande">'Liste des produits vendus '!$B$6:$B$40</definedName>
    <definedName name="Montant">'Liste des produits vendus '!$H$6:$H$40</definedName>
    <definedName name="Ouvrage">'Catalogue des produits'!$B$7:$H$33</definedName>
    <definedName name="produits">'Liste des produits vendus '!$F$6:$F$40</definedName>
    <definedName name="tableau">'Total des ventes par clients'!$B$3:$C$15</definedName>
    <definedName name="Total">'Total des ventes par clients'!$B$2:$D$20</definedName>
    <definedName name="Vendus">'Liste des produits vendus '!$D$5:$H$40</definedName>
    <definedName name="_xlnm.Print_Area" localSheetId="1">'Catalogue des produits'!$B$2:$J$33</definedName>
    <definedName name="_xlnm.Print_Area" localSheetId="0">'Liste des clients'!$B$2:$J$22</definedName>
    <definedName name="_xlnm.Print_Area" localSheetId="2">'Liste des produits vendus '!$B$2:$I$44</definedName>
    <definedName name="_xlnm.Print_Area" localSheetId="3">'Total des ventes par clients'!$B$2:$I$21</definedName>
  </definedNames>
  <calcPr calcId="191029"/>
  <pivotCaches>
    <pivotCache cacheId="15" r:id="rId5"/>
    <pivotCache cacheId="2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6" i="1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7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7" i="4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6" i="2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6" i="1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6" i="2"/>
  <c r="J22" i="1" l="1"/>
  <c r="H6" i="2" l="1"/>
  <c r="I6" i="2" s="1"/>
  <c r="H7" i="2"/>
  <c r="I7" i="2" s="1"/>
  <c r="H8" i="2"/>
  <c r="I8" i="2" s="1"/>
  <c r="H15" i="2"/>
  <c r="I15" i="2" s="1"/>
  <c r="H9" i="2"/>
  <c r="I9" i="2" s="1"/>
  <c r="H14" i="2"/>
  <c r="I14" i="2" s="1"/>
  <c r="H23" i="2"/>
  <c r="I23" i="2" s="1"/>
  <c r="H22" i="2"/>
  <c r="I22" i="2" s="1"/>
  <c r="H11" i="2"/>
  <c r="I11" i="2" s="1"/>
  <c r="H21" i="2"/>
  <c r="I21" i="2" s="1"/>
  <c r="H10" i="2"/>
  <c r="H39" i="2"/>
  <c r="I39" i="2" s="1"/>
  <c r="H30" i="2"/>
  <c r="H26" i="2"/>
  <c r="I26" i="2" s="1"/>
  <c r="H37" i="2"/>
  <c r="I37" i="2" s="1"/>
  <c r="H32" i="2"/>
  <c r="I32" i="2" s="1"/>
  <c r="H28" i="2"/>
  <c r="I28" i="2" s="1"/>
  <c r="H24" i="2"/>
  <c r="H40" i="2"/>
  <c r="H36" i="2"/>
  <c r="H31" i="2"/>
  <c r="I31" i="2" s="1"/>
  <c r="H27" i="2"/>
  <c r="H38" i="2"/>
  <c r="H33" i="2"/>
  <c r="H29" i="2"/>
  <c r="I29" i="2" s="1"/>
  <c r="H25" i="2"/>
  <c r="I40" i="2" l="1"/>
  <c r="I10" i="2"/>
  <c r="I27" i="2"/>
  <c r="I38" i="2"/>
  <c r="I36" i="2"/>
  <c r="I25" i="2"/>
  <c r="I33" i="2"/>
  <c r="I30" i="2"/>
  <c r="I24" i="2"/>
  <c r="H35" i="2"/>
  <c r="H34" i="2"/>
  <c r="I34" i="2" s="1"/>
  <c r="I35" i="2" l="1"/>
  <c r="H12" i="2"/>
  <c r="I12" i="2" s="1"/>
  <c r="H13" i="2"/>
  <c r="I13" i="2" l="1"/>
  <c r="H17" i="2"/>
  <c r="I17" i="2" s="1"/>
  <c r="H18" i="2"/>
  <c r="H16" i="2"/>
  <c r="I16" i="2" s="1"/>
  <c r="H20" i="2"/>
  <c r="I20" i="2" s="1"/>
  <c r="H19" i="2"/>
  <c r="I19" i="2" s="1"/>
  <c r="I18" i="2" l="1"/>
  <c r="I41" i="2" s="1"/>
  <c r="H41" i="2"/>
</calcChain>
</file>

<file path=xl/sharedStrings.xml><?xml version="1.0" encoding="utf-8"?>
<sst xmlns="http://schemas.openxmlformats.org/spreadsheetml/2006/main" count="359" uniqueCount="195">
  <si>
    <t>Monsieur</t>
  </si>
  <si>
    <t>HOUDAN</t>
  </si>
  <si>
    <t>Sébastien</t>
  </si>
  <si>
    <t>125, avenue Marceau</t>
  </si>
  <si>
    <t>MARSEILLE</t>
  </si>
  <si>
    <t>FRANCE</t>
  </si>
  <si>
    <t>Madame</t>
  </si>
  <si>
    <t>REGION</t>
  </si>
  <si>
    <t>Otalie</t>
  </si>
  <si>
    <t>10, avenue Fragmeht</t>
  </si>
  <si>
    <t>GENEVE</t>
  </si>
  <si>
    <t>SUISSE</t>
  </si>
  <si>
    <t>CURT</t>
  </si>
  <si>
    <t>Arthur</t>
  </si>
  <si>
    <t>12, rue du Commerce</t>
  </si>
  <si>
    <t>LYON</t>
  </si>
  <si>
    <t>BINOCHE</t>
  </si>
  <si>
    <t>Julien</t>
  </si>
  <si>
    <t>56, place de la Victoire</t>
  </si>
  <si>
    <t>NICE</t>
  </si>
  <si>
    <t>IZGOUD</t>
  </si>
  <si>
    <t>Bernadette</t>
  </si>
  <si>
    <t>Spring Road</t>
  </si>
  <si>
    <t>LONDRES</t>
  </si>
  <si>
    <t>GRANDE-BRETAGNE</t>
  </si>
  <si>
    <t>BEUKELAERE</t>
  </si>
  <si>
    <t>Odette</t>
  </si>
  <si>
    <t>BRUXELLES</t>
  </si>
  <si>
    <t>BELGIQUE</t>
  </si>
  <si>
    <t>Jean</t>
  </si>
  <si>
    <t>DUBOIS</t>
  </si>
  <si>
    <t>NANTES</t>
  </si>
  <si>
    <t>Juliette</t>
  </si>
  <si>
    <t>PORTE</t>
  </si>
  <si>
    <t>Maxime</t>
  </si>
  <si>
    <t>LAPORTE</t>
  </si>
  <si>
    <t>Sophie</t>
  </si>
  <si>
    <t>DESVENTS</t>
  </si>
  <si>
    <t>RENNES</t>
  </si>
  <si>
    <t>Marthe</t>
  </si>
  <si>
    <t>LEVASSEUR</t>
  </si>
  <si>
    <t>ANGERS</t>
  </si>
  <si>
    <t>CP</t>
  </si>
  <si>
    <t>CAINE</t>
  </si>
  <si>
    <t>Mickaël</t>
  </si>
  <si>
    <t>PREFFER</t>
  </si>
  <si>
    <t>Jeanne</t>
  </si>
  <si>
    <t>HOLMES</t>
  </si>
  <si>
    <t>Sherlock</t>
  </si>
  <si>
    <t>IRVING</t>
  </si>
  <si>
    <t>Amy</t>
  </si>
  <si>
    <t>Mademoiselle</t>
  </si>
  <si>
    <t>WALKEN</t>
  </si>
  <si>
    <t>Eva</t>
  </si>
  <si>
    <t>17, rue Avenue Shining</t>
  </si>
  <si>
    <t>12, rue des Capucins</t>
  </si>
  <si>
    <t>24, rue de l'Evasion</t>
  </si>
  <si>
    <t>16, rue Mauduit</t>
  </si>
  <si>
    <t>32, rue des Voyants</t>
  </si>
  <si>
    <t>avenue de la Reine Astrid</t>
  </si>
  <si>
    <t>10, impasse des Marguerites</t>
  </si>
  <si>
    <t>10, rue des Peupliers</t>
  </si>
  <si>
    <t>34, rue des Cèdres</t>
  </si>
  <si>
    <t>3, rue des Roches</t>
  </si>
  <si>
    <t>15, rue de la Fauvette</t>
  </si>
  <si>
    <t>Titre</t>
  </si>
  <si>
    <t>Nom</t>
  </si>
  <si>
    <t>Prénom</t>
  </si>
  <si>
    <t>Adresse1</t>
  </si>
  <si>
    <t>Ville</t>
  </si>
  <si>
    <t>Pays</t>
  </si>
  <si>
    <t>Code clients</t>
  </si>
  <si>
    <t>Montant TTC</t>
  </si>
  <si>
    <t>06100</t>
  </si>
  <si>
    <t>1000</t>
  </si>
  <si>
    <t>Auteur</t>
  </si>
  <si>
    <t>Rouge Rubis</t>
  </si>
  <si>
    <t xml:space="preserve">Vert Emeraude </t>
  </si>
  <si>
    <t xml:space="preserve">Bleu Saphir </t>
  </si>
  <si>
    <t>Hunger Games</t>
  </si>
  <si>
    <t>Veronica</t>
  </si>
  <si>
    <t>Roth</t>
  </si>
  <si>
    <t>Gier</t>
  </si>
  <si>
    <t>Dasher</t>
  </si>
  <si>
    <t>Collins</t>
  </si>
  <si>
    <t>Suzanne</t>
  </si>
  <si>
    <t>Kerstin</t>
  </si>
  <si>
    <t>James</t>
  </si>
  <si>
    <t>Martin</t>
  </si>
  <si>
    <t>George R.R.</t>
  </si>
  <si>
    <t>Eragon</t>
  </si>
  <si>
    <t>Paolini</t>
  </si>
  <si>
    <t>Christopher</t>
  </si>
  <si>
    <t>Collection</t>
  </si>
  <si>
    <t>Tome</t>
  </si>
  <si>
    <t>Le labyrinthe</t>
  </si>
  <si>
    <t>La terre Brûlée</t>
  </si>
  <si>
    <t>Le remède mortel</t>
  </si>
  <si>
    <t>Ouvrage</t>
  </si>
  <si>
    <t>L'embrasement</t>
  </si>
  <si>
    <t>Intégrale 1</t>
  </si>
  <si>
    <t>Intégrale 2</t>
  </si>
  <si>
    <t>Intégrale 3</t>
  </si>
  <si>
    <t>Intégrale 4</t>
  </si>
  <si>
    <t>Brisingr</t>
  </si>
  <si>
    <t>L'héritage</t>
  </si>
  <si>
    <t>Games of Throne</t>
  </si>
  <si>
    <t>Code</t>
  </si>
  <si>
    <t>Tome 1</t>
  </si>
  <si>
    <t>Tome 2</t>
  </si>
  <si>
    <t>Tome 3</t>
  </si>
  <si>
    <t>Prix</t>
  </si>
  <si>
    <t>Tome 4</t>
  </si>
  <si>
    <t>MARGEOGAME1</t>
  </si>
  <si>
    <t>MARGEOGAME2</t>
  </si>
  <si>
    <t>MARGEOGAME3</t>
  </si>
  <si>
    <t>MARGEOGAME4</t>
  </si>
  <si>
    <t>ROTVERDIVE1</t>
  </si>
  <si>
    <t>ROTVERDIVE2</t>
  </si>
  <si>
    <t>ROTVERDIVE3</t>
  </si>
  <si>
    <t>GIEKERROUG1</t>
  </si>
  <si>
    <t>COLSUZHUNG1</t>
  </si>
  <si>
    <t>COLSUZHUNG2</t>
  </si>
  <si>
    <t>PAOCHRERAG1</t>
  </si>
  <si>
    <t>PAOCHRERAG2</t>
  </si>
  <si>
    <t>La révolte</t>
  </si>
  <si>
    <t>Intégrale 5</t>
  </si>
  <si>
    <t>Tome 5</t>
  </si>
  <si>
    <t>Divergente</t>
  </si>
  <si>
    <t>GIEKERVERT3</t>
  </si>
  <si>
    <t>GIEKERBLEU2</t>
  </si>
  <si>
    <t>L'aîné</t>
  </si>
  <si>
    <t>Labyrinthe</t>
  </si>
  <si>
    <t>DASJAMLABY1</t>
  </si>
  <si>
    <t>Numéro de la commande</t>
  </si>
  <si>
    <t>Produits</t>
  </si>
  <si>
    <t>Date de la commande</t>
  </si>
  <si>
    <t>BEUODEBRUBEL</t>
  </si>
  <si>
    <t>MARGEOGAME5</t>
  </si>
  <si>
    <t>Total de la commande</t>
  </si>
  <si>
    <t>HOLSHENANFRA</t>
  </si>
  <si>
    <t>IRVAMYNANFRA</t>
  </si>
  <si>
    <t>REGOTAGENSUI</t>
  </si>
  <si>
    <t>PORJULNANFRA</t>
  </si>
  <si>
    <t>Colonne nommée</t>
  </si>
  <si>
    <t>Montant</t>
  </si>
  <si>
    <t>Commande</t>
  </si>
  <si>
    <t>LAPMAXNANFRA</t>
  </si>
  <si>
    <t>CURARTLYOFRA</t>
  </si>
  <si>
    <t>Le tableau est nommé</t>
  </si>
  <si>
    <t>Achats</t>
  </si>
  <si>
    <t>BINJULNICFRA</t>
  </si>
  <si>
    <t>CAIMICRENFRA</t>
  </si>
  <si>
    <t>Clients</t>
  </si>
  <si>
    <t>Miséricorde</t>
  </si>
  <si>
    <t>Alder-Olsen</t>
  </si>
  <si>
    <t>Jussi</t>
  </si>
  <si>
    <t>Profanation</t>
  </si>
  <si>
    <t>Délivrance</t>
  </si>
  <si>
    <t>Dossier 64</t>
  </si>
  <si>
    <t>L'effet papillon</t>
  </si>
  <si>
    <t>Promesse</t>
  </si>
  <si>
    <t>ALDJUSMISÉ</t>
  </si>
  <si>
    <t>ALDJUSPROF</t>
  </si>
  <si>
    <t>ALDJUSDÉLI</t>
  </si>
  <si>
    <t>DESSOPRENFRA</t>
  </si>
  <si>
    <t>DUBJEANANFRA</t>
  </si>
  <si>
    <t>IZGBERLONGRA</t>
  </si>
  <si>
    <t>LEVMARANGFRA</t>
  </si>
  <si>
    <t>PREJEARENFRA</t>
  </si>
  <si>
    <t>WALEVANANFRA</t>
  </si>
  <si>
    <t>Total Achats</t>
  </si>
  <si>
    <t>Nom et Prénom</t>
  </si>
  <si>
    <t>Titre et Tome</t>
  </si>
  <si>
    <t>Ventes</t>
  </si>
  <si>
    <t>% des
ventes</t>
  </si>
  <si>
    <t>Étiquettes de lignes</t>
  </si>
  <si>
    <t>Total général</t>
  </si>
  <si>
    <t>BEUKELAERE Odette</t>
  </si>
  <si>
    <t>BINOCHE Julien</t>
  </si>
  <si>
    <t>CAINE Mickaël</t>
  </si>
  <si>
    <t>CURT Arthur</t>
  </si>
  <si>
    <t>DESVENTS Sophie</t>
  </si>
  <si>
    <t>DUBOIS Jean</t>
  </si>
  <si>
    <t>HOLMES Sherlock</t>
  </si>
  <si>
    <t>IRVING Amy</t>
  </si>
  <si>
    <t>IZGOUD Bernadette</t>
  </si>
  <si>
    <t>LAPORTE Maxime</t>
  </si>
  <si>
    <t>LEVASSEUR Marthe</t>
  </si>
  <si>
    <t>PORTE Juliette</t>
  </si>
  <si>
    <t>PREFFER Jeanne</t>
  </si>
  <si>
    <t>REGION Otalie</t>
  </si>
  <si>
    <t>WALKEN Eva</t>
  </si>
  <si>
    <t>Somme de Montant TTC</t>
  </si>
  <si>
    <t>Somme de Somme de Montant TTC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</si>
</sst>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5" formatCode="#,##0.00\ &quot;€&quot;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9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5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4" xfId="0" applyFont="1" applyBorder="1" applyAlignment="1">
      <alignment vertical="center"/>
    </xf>
    <xf numFmtId="0" fontId="1" fillId="0" borderId="1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5" xfId="0" applyNumberFormat="1" applyFont="1" applyBorder="1" applyAlignment="1">
      <alignment horizontal="left" vertical="center" wrapText="1"/>
    </xf>
    <xf numFmtId="49" fontId="1" fillId="0" borderId="1" xfId="0" quotePrefix="1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2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28" xfId="0" applyFont="1" applyBorder="1"/>
    <xf numFmtId="0" fontId="2" fillId="0" borderId="2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165" fontId="2" fillId="0" borderId="28" xfId="0" applyNumberFormat="1" applyFont="1" applyBorder="1" applyAlignment="1">
      <alignment horizontal="center" vertical="center"/>
    </xf>
    <xf numFmtId="165" fontId="2" fillId="0" borderId="29" xfId="0" applyNumberFormat="1" applyFont="1" applyBorder="1" applyAlignment="1">
      <alignment horizontal="center" vertical="center"/>
    </xf>
    <xf numFmtId="165" fontId="2" fillId="0" borderId="30" xfId="0" applyNumberFormat="1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" fillId="0" borderId="0" xfId="0" applyFont="1"/>
    <xf numFmtId="165" fontId="1" fillId="0" borderId="30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65" fontId="3" fillId="0" borderId="34" xfId="0" applyNumberFormat="1" applyFont="1" applyBorder="1" applyAlignment="1">
      <alignment horizontal="center" vertical="center"/>
    </xf>
    <xf numFmtId="14" fontId="1" fillId="0" borderId="28" xfId="0" applyNumberFormat="1" applyFont="1" applyBorder="1" applyAlignment="1">
      <alignment horizontal="center" vertical="center"/>
    </xf>
    <xf numFmtId="14" fontId="1" fillId="0" borderId="29" xfId="0" applyNumberFormat="1" applyFont="1" applyBorder="1" applyAlignment="1">
      <alignment horizontal="center" vertical="center"/>
    </xf>
    <xf numFmtId="14" fontId="1" fillId="0" borderId="30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3" fillId="0" borderId="0" xfId="0" applyNumberFormat="1" applyFont="1"/>
    <xf numFmtId="165" fontId="3" fillId="0" borderId="30" xfId="0" applyNumberFormat="1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0" fontId="0" fillId="0" borderId="0" xfId="0" applyNumberFormat="1"/>
    <xf numFmtId="165" fontId="4" fillId="0" borderId="1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/>
    </xf>
    <xf numFmtId="0" fontId="3" fillId="0" borderId="28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" fillId="0" borderId="30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6" fillId="0" borderId="28" xfId="0" applyFont="1" applyBorder="1" applyAlignment="1">
      <alignment horizontal="center" vertical="center"/>
    </xf>
    <xf numFmtId="9" fontId="0" fillId="0" borderId="0" xfId="0" applyNumberFormat="1"/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49" fontId="2" fillId="0" borderId="0" xfId="0" applyNumberFormat="1" applyFont="1" applyAlignment="1">
      <alignment horizontal="left"/>
    </xf>
    <xf numFmtId="0" fontId="1" fillId="0" borderId="0" xfId="0" applyFont="1" applyAlignment="1">
      <alignment vertical="center" wrapText="1"/>
    </xf>
    <xf numFmtId="44" fontId="2" fillId="0" borderId="0" xfId="0" applyNumberFormat="1" applyFont="1"/>
    <xf numFmtId="0" fontId="3" fillId="0" borderId="29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" fillId="0" borderId="23" xfId="0" applyFont="1" applyFill="1" applyBorder="1" applyAlignment="1">
      <alignment horizontal="center"/>
    </xf>
    <xf numFmtId="9" fontId="0" fillId="0" borderId="28" xfId="1" applyFont="1" applyBorder="1" applyAlignment="1">
      <alignment horizontal="center" vertical="center"/>
    </xf>
    <xf numFmtId="0" fontId="0" fillId="0" borderId="0" xfId="0" pivotButton="1"/>
    <xf numFmtId="0" fontId="0" fillId="0" borderId="0" xfId="0" applyNumberFormat="1"/>
  </cellXfs>
  <cellStyles count="2">
    <cellStyle name="Normal" xfId="0" builtinId="0"/>
    <cellStyle name="Pourcentage" xfId="1" builtinId="5"/>
  </cellStyles>
  <dxfs count="7"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[Clients - Document Brut.xlsx]Total des ventes par clients!Tableau croisé dynamique6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des ventes par clients'!$E$1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des ventes par clients'!$D$2:$D$17</c:f>
              <c:strCache>
                <c:ptCount val="15"/>
                <c:pt idx="0">
                  <c:v>BEUKELAERE Odette</c:v>
                </c:pt>
                <c:pt idx="1">
                  <c:v>BINOCHE Julien</c:v>
                </c:pt>
                <c:pt idx="2">
                  <c:v>CAINE Mickaël</c:v>
                </c:pt>
                <c:pt idx="3">
                  <c:v>CURT Arthur</c:v>
                </c:pt>
                <c:pt idx="4">
                  <c:v>DESVENTS Sophie</c:v>
                </c:pt>
                <c:pt idx="5">
                  <c:v>DUBOIS Jean</c:v>
                </c:pt>
                <c:pt idx="6">
                  <c:v>HOLMES Sherlock</c:v>
                </c:pt>
                <c:pt idx="7">
                  <c:v>IRVING Amy</c:v>
                </c:pt>
                <c:pt idx="8">
                  <c:v>IZGOUD Bernadette</c:v>
                </c:pt>
                <c:pt idx="9">
                  <c:v>LAPORTE Maxime</c:v>
                </c:pt>
                <c:pt idx="10">
                  <c:v>LEVASSEUR Marthe</c:v>
                </c:pt>
                <c:pt idx="11">
                  <c:v>PORTE Juliette</c:v>
                </c:pt>
                <c:pt idx="12">
                  <c:v>PREFFER Jeanne</c:v>
                </c:pt>
                <c:pt idx="13">
                  <c:v>REGION Otalie</c:v>
                </c:pt>
                <c:pt idx="14">
                  <c:v>WALKEN Eva</c:v>
                </c:pt>
              </c:strCache>
            </c:strRef>
          </c:cat>
          <c:val>
            <c:numRef>
              <c:f>'Total des ventes par clients'!$E$2:$E$17</c:f>
              <c:numCache>
                <c:formatCode>General</c:formatCode>
                <c:ptCount val="15"/>
                <c:pt idx="0">
                  <c:v>31</c:v>
                </c:pt>
                <c:pt idx="1">
                  <c:v>39</c:v>
                </c:pt>
                <c:pt idx="2">
                  <c:v>16.5</c:v>
                </c:pt>
                <c:pt idx="3">
                  <c:v>24.5</c:v>
                </c:pt>
                <c:pt idx="4">
                  <c:v>34.5</c:v>
                </c:pt>
                <c:pt idx="5">
                  <c:v>32.5</c:v>
                </c:pt>
                <c:pt idx="6">
                  <c:v>57.5</c:v>
                </c:pt>
                <c:pt idx="7">
                  <c:v>63.5</c:v>
                </c:pt>
                <c:pt idx="8">
                  <c:v>79</c:v>
                </c:pt>
                <c:pt idx="9">
                  <c:v>33.5</c:v>
                </c:pt>
                <c:pt idx="10">
                  <c:v>19</c:v>
                </c:pt>
                <c:pt idx="11">
                  <c:v>26</c:v>
                </c:pt>
                <c:pt idx="12">
                  <c:v>19.5</c:v>
                </c:pt>
                <c:pt idx="13">
                  <c:v>42</c:v>
                </c:pt>
                <c:pt idx="1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A-4ABC-B150-D54A77B1B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9901999"/>
        <c:axId val="1959904399"/>
      </c:barChart>
      <c:catAx>
        <c:axId val="195990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9904399"/>
        <c:crosses val="autoZero"/>
        <c:auto val="1"/>
        <c:lblAlgn val="ctr"/>
        <c:lblOffset val="100"/>
        <c:noMultiLvlLbl val="0"/>
      </c:catAx>
      <c:valAx>
        <c:axId val="195990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990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3969</xdr:colOff>
      <xdr:row>17</xdr:row>
      <xdr:rowOff>108742</xdr:rowOff>
    </xdr:from>
    <xdr:to>
      <xdr:col>7</xdr:col>
      <xdr:colOff>392906</xdr:colOff>
      <xdr:row>31</xdr:row>
      <xdr:rowOff>184942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9656D58B-226C-C741-2AD3-3EB67C4C2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k Skala" refreshedDate="46182.716424074075" createdVersion="8" refreshedVersion="8" minRefreshableVersion="3" recordCount="35" xr:uid="{D333E0C7-CC1D-47B8-9669-602E16D09583}">
  <cacheSource type="worksheet">
    <worksheetSource name="Achats"/>
  </cacheSource>
  <cacheFields count="8">
    <cacheField name="Numéro de la commande" numFmtId="0">
      <sharedItems count="19">
        <s v="20210107CAIMICRENFRA"/>
        <s v="20210107DESSOPRENFRA"/>
        <s v="20210115IZGBERLONGRA"/>
        <s v="20210120WALEVANANFRA"/>
        <s v="20210122LAPMAXNANFRA"/>
        <s v="20210125LEVMARANGFRA"/>
        <s v="20210125BINJULNICFRA"/>
        <s v="20210130CURARTLYOFRA"/>
        <s v="20210201IRVAMYNANFRA"/>
        <s v="20210206DUBJEANANFRA"/>
        <s v="20210206WALEVANANFRA"/>
        <s v="20210206BEUODEBRUBEL"/>
        <s v="20210208HOLSHENANFRA"/>
        <s v="20210210HOLSHENANFRA"/>
        <s v="20210210IRVAMYNANFRA"/>
        <s v="20210215IZGBERLONGRA"/>
        <s v="20210215PREJEARENFRA"/>
        <s v="20210215REGOTAGENSUI"/>
        <s v="20210220PORJULNANFRA"/>
      </sharedItems>
    </cacheField>
    <cacheField name="Date de la commande" numFmtId="14">
      <sharedItems containsSemiMixedTypes="0" containsNonDate="0" containsDate="1" containsString="0" minDate="2021-01-07T00:00:00" maxDate="2021-02-21T00:00:00"/>
    </cacheField>
    <cacheField name="Code clients" numFmtId="0">
      <sharedItems/>
    </cacheField>
    <cacheField name="Nom et Prénom" numFmtId="0">
      <sharedItems count="15">
        <s v="CAINE Mickaël"/>
        <s v="DESVENTS Sophie"/>
        <s v="IZGOUD Bernadette"/>
        <s v="WALKEN Eva"/>
        <s v="LAPORTE Maxime"/>
        <s v="LEVASSEUR Marthe"/>
        <s v="BINOCHE Julien"/>
        <s v="CURT Arthur"/>
        <s v="IRVING Amy"/>
        <s v="DUBOIS Jean"/>
        <s v="BEUKELAERE Odette"/>
        <s v="HOLMES Sherlock"/>
        <s v="PREFFER Jeanne"/>
        <s v="REGION Otalie"/>
        <s v="PORTE Juliette"/>
      </sharedItems>
    </cacheField>
    <cacheField name="Produits" numFmtId="0">
      <sharedItems/>
    </cacheField>
    <cacheField name="Titre et Tome" numFmtId="0">
      <sharedItems/>
    </cacheField>
    <cacheField name="Montant TTC" numFmtId="0">
      <sharedItems containsSemiMixedTypes="0" containsString="0" containsNumber="1" minValue="12" maxValue="21"/>
    </cacheField>
    <cacheField name="Total de la commande" numFmtId="0">
      <sharedItems containsMixedTypes="1" containsNumber="1" minValue="14.5" maxValue="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k Skala" refreshedDate="46182.885317939814" createdVersion="8" refreshedVersion="8" minRefreshableVersion="3" recordCount="15" xr:uid="{107D9EE3-AB47-40FD-94E7-AAE3E251378B}">
  <cacheSource type="worksheet">
    <worksheetSource ref="A1:B16" sheet="Total des ventes par clients"/>
  </cacheSource>
  <cacheFields count="2">
    <cacheField name="Étiquettes de lignes" numFmtId="0">
      <sharedItems count="15">
        <s v="BEUKELAERE Odette"/>
        <s v="BINOCHE Julien"/>
        <s v="CAINE Mickaël"/>
        <s v="CURT Arthur"/>
        <s v="DESVENTS Sophie"/>
        <s v="DUBOIS Jean"/>
        <s v="HOLMES Sherlock"/>
        <s v="IRVING Amy"/>
        <s v="IZGOUD Bernadette"/>
        <s v="LAPORTE Maxime"/>
        <s v="LEVASSEUR Marthe"/>
        <s v="PORTE Juliette"/>
        <s v="PREFFER Jeanne"/>
        <s v="REGION Otalie"/>
        <s v="WALKEN Eva"/>
      </sharedItems>
    </cacheField>
    <cacheField name="Somme de Montant TTC" numFmtId="0">
      <sharedItems containsSemiMixedTypes="0" containsString="0" containsNumber="1" minValue="16.5" maxValue="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d v="2021-01-07T00:00:00"/>
    <s v="CAIMICRENFRA"/>
    <x v="0"/>
    <s v="ALDJUSMISÉ"/>
    <s v="Miséricorde "/>
    <n v="16.5"/>
    <n v="16.5"/>
  </r>
  <r>
    <x v="1"/>
    <d v="2021-01-07T00:00:00"/>
    <s v="DESSOPRENFRA"/>
    <x v="1"/>
    <s v="ALDJUSPROF"/>
    <s v="Profanation "/>
    <n v="17"/>
    <s v=""/>
  </r>
  <r>
    <x v="1"/>
    <d v="2021-01-07T00:00:00"/>
    <s v="DESSOPRENFRA"/>
    <x v="1"/>
    <s v="ALDJUSDÉLI"/>
    <s v="Délivrance "/>
    <n v="17.5"/>
    <n v="34.5"/>
  </r>
  <r>
    <x v="2"/>
    <d v="2021-01-15T00:00:00"/>
    <s v="IZGBERLONGRA"/>
    <x v="2"/>
    <s v="MARGEOGAME1"/>
    <s v="Games of Throne 1"/>
    <n v="19"/>
    <s v=""/>
  </r>
  <r>
    <x v="2"/>
    <d v="2021-01-15T00:00:00"/>
    <s v="IZGBERLONGRA"/>
    <x v="2"/>
    <s v="MARGEOGAME2"/>
    <s v="Games of Throne 2"/>
    <n v="19.5"/>
    <n v="38.5"/>
  </r>
  <r>
    <x v="3"/>
    <d v="2021-01-20T00:00:00"/>
    <s v="WALEVANANFRA"/>
    <x v="3"/>
    <s v="GIEKERROUG1"/>
    <s v="Rouge Rubis 1"/>
    <n v="13.5"/>
    <s v=""/>
  </r>
  <r>
    <x v="3"/>
    <d v="2021-01-20T00:00:00"/>
    <s v="WALEVANANFRA"/>
    <x v="3"/>
    <s v="GIEKERBLEU2"/>
    <s v="Bleu Saphir  2"/>
    <n v="13"/>
    <s v=""/>
  </r>
  <r>
    <x v="3"/>
    <d v="2021-01-20T00:00:00"/>
    <s v="WALEVANANFRA"/>
    <x v="3"/>
    <s v="GIEKERVERT3"/>
    <s v="Vert Emeraude  3"/>
    <n v="13"/>
    <n v="39.5"/>
  </r>
  <r>
    <x v="4"/>
    <d v="2021-01-22T00:00:00"/>
    <s v="LAPMAXNANFRA"/>
    <x v="4"/>
    <s v="ALDJUSMISÉ"/>
    <s v="Miséricorde "/>
    <n v="16.5"/>
    <s v=""/>
  </r>
  <r>
    <x v="4"/>
    <d v="2021-01-22T00:00:00"/>
    <s v="LAPMAXNANFRA"/>
    <x v="4"/>
    <s v="ALDJUSPROF"/>
    <s v="Profanation "/>
    <n v="17"/>
    <n v="33.5"/>
  </r>
  <r>
    <x v="5"/>
    <d v="2021-01-25T00:00:00"/>
    <s v="LEVMARANGFRA"/>
    <x v="5"/>
    <s v="MARGEOGAME1"/>
    <s v="Games of Throne 1"/>
    <n v="19"/>
    <n v="19"/>
  </r>
  <r>
    <x v="6"/>
    <d v="2021-01-25T00:00:00"/>
    <s v="BINJULNICFRA"/>
    <x v="6"/>
    <s v="MARGEOGAME2"/>
    <s v="Games of Throne 2"/>
    <n v="19.5"/>
    <s v=""/>
  </r>
  <r>
    <x v="6"/>
    <d v="2021-01-25T00:00:00"/>
    <s v="BINJULNICFRA"/>
    <x v="6"/>
    <s v="MARGEOGAME3"/>
    <s v="Games of Throne 3"/>
    <n v="19.5"/>
    <n v="39"/>
  </r>
  <r>
    <x v="7"/>
    <d v="2021-01-30T00:00:00"/>
    <s v="CURARTLYOFRA"/>
    <x v="7"/>
    <s v="PAOCHRERAG1"/>
    <s v="Eragon 1"/>
    <n v="12"/>
    <s v=""/>
  </r>
  <r>
    <x v="7"/>
    <d v="2021-01-30T00:00:00"/>
    <s v="CURARTLYOFRA"/>
    <x v="7"/>
    <s v="PAOCHRERAG2"/>
    <s v="Eragon 2"/>
    <n v="12.5"/>
    <n v="24.5"/>
  </r>
  <r>
    <x v="8"/>
    <d v="2021-02-01T00:00:00"/>
    <s v="IRVAMYNANFRA"/>
    <x v="8"/>
    <s v="COLSUZHUNG1"/>
    <s v="Hunger Games 1"/>
    <n v="17"/>
    <s v=""/>
  </r>
  <r>
    <x v="8"/>
    <d v="2021-02-01T00:00:00"/>
    <s v="IRVAMYNANFRA"/>
    <x v="8"/>
    <s v="COLSUZHUNG2"/>
    <s v="Hunger Games 2"/>
    <n v="17"/>
    <n v="34"/>
  </r>
  <r>
    <x v="9"/>
    <d v="2021-02-06T00:00:00"/>
    <s v="DUBJEANANFRA"/>
    <x v="9"/>
    <s v="COLSUZHUNG1"/>
    <s v="Hunger Games 1"/>
    <n v="17"/>
    <s v=""/>
  </r>
  <r>
    <x v="9"/>
    <d v="2021-02-06T00:00:00"/>
    <s v="DUBJEANANFRA"/>
    <x v="9"/>
    <s v="DASJAMLABY1"/>
    <s v="Labyrinthe 1"/>
    <n v="15.5"/>
    <n v="32.5"/>
  </r>
  <r>
    <x v="10"/>
    <d v="2021-02-06T00:00:00"/>
    <s v="WALEVANANFRA"/>
    <x v="3"/>
    <s v="DASJAMLABY1"/>
    <s v="Labyrinthe 1"/>
    <n v="15.5"/>
    <n v="15.5"/>
  </r>
  <r>
    <x v="11"/>
    <d v="2021-02-06T00:00:00"/>
    <s v="BEUODEBRUBEL"/>
    <x v="10"/>
    <s v="MARGEOGAME1"/>
    <s v="Games of Throne 1"/>
    <n v="19"/>
    <s v=""/>
  </r>
  <r>
    <x v="11"/>
    <d v="2021-02-06T00:00:00"/>
    <s v="BEUODEBRUBEL"/>
    <x v="10"/>
    <s v="PAOCHRERAG1"/>
    <s v="Eragon 1"/>
    <n v="12"/>
    <n v="31"/>
  </r>
  <r>
    <x v="12"/>
    <d v="2021-02-08T00:00:00"/>
    <s v="HOLSHENANFRA"/>
    <x v="11"/>
    <s v="DASJAMLABY1"/>
    <s v="Labyrinthe 1"/>
    <n v="15.5"/>
    <s v=""/>
  </r>
  <r>
    <x v="12"/>
    <d v="2021-02-08T00:00:00"/>
    <s v="HOLSHENANFRA"/>
    <x v="11"/>
    <s v="GIEKERBLEU2"/>
    <s v="Bleu Saphir  2"/>
    <n v="13"/>
    <s v=""/>
  </r>
  <r>
    <x v="12"/>
    <d v="2021-02-08T00:00:00"/>
    <s v="HOLSHENANFRA"/>
    <x v="11"/>
    <s v="ROTVERDIVE1"/>
    <s v="Divergente 1"/>
    <n v="14.5"/>
    <n v="43"/>
  </r>
  <r>
    <x v="13"/>
    <d v="2021-02-10T00:00:00"/>
    <s v="HOLSHENANFRA"/>
    <x v="11"/>
    <s v="ROTVERDIVE1"/>
    <s v="Divergente 1"/>
    <n v="14.5"/>
    <n v="14.5"/>
  </r>
  <r>
    <x v="14"/>
    <d v="2021-02-10T00:00:00"/>
    <s v="IRVAMYNANFRA"/>
    <x v="8"/>
    <s v="ROTVERDIVE2"/>
    <s v="Divergente 2"/>
    <n v="14.5"/>
    <s v=""/>
  </r>
  <r>
    <x v="14"/>
    <d v="2021-02-10T00:00:00"/>
    <s v="IRVAMYNANFRA"/>
    <x v="8"/>
    <s v="ROTVERDIVE3"/>
    <s v="Divergente 3"/>
    <n v="15"/>
    <n v="29.5"/>
  </r>
  <r>
    <x v="15"/>
    <d v="2021-02-15T00:00:00"/>
    <s v="IZGBERLONGRA"/>
    <x v="2"/>
    <s v="MARGEOGAME3"/>
    <s v="Games of Throne 3"/>
    <n v="19.5"/>
    <s v=""/>
  </r>
  <r>
    <x v="15"/>
    <d v="2021-02-15T00:00:00"/>
    <s v="IZGBERLONGRA"/>
    <x v="2"/>
    <s v="MARGEOGAME4"/>
    <s v="Games of Throne 4"/>
    <n v="21"/>
    <n v="40.5"/>
  </r>
  <r>
    <x v="16"/>
    <d v="2021-02-15T00:00:00"/>
    <s v="PREJEARENFRA"/>
    <x v="12"/>
    <s v="MARGEOGAME3"/>
    <s v="Games of Throne 3"/>
    <n v="19.5"/>
    <n v="19.5"/>
  </r>
  <r>
    <x v="17"/>
    <d v="2021-02-15T00:00:00"/>
    <s v="REGOTAGENSUI"/>
    <x v="13"/>
    <s v="MARGEOGAME4"/>
    <s v="Games of Throne 4"/>
    <n v="21"/>
    <s v=""/>
  </r>
  <r>
    <x v="17"/>
    <d v="2021-02-15T00:00:00"/>
    <s v="REGOTAGENSUI"/>
    <x v="13"/>
    <s v="MARGEOGAME5"/>
    <s v="Games of Throne 5"/>
    <n v="21"/>
    <n v="42"/>
  </r>
  <r>
    <x v="18"/>
    <d v="2021-02-20T00:00:00"/>
    <s v="PORJULNANFRA"/>
    <x v="14"/>
    <s v="GIEKERBLEU2"/>
    <s v="Bleu Saphir  2"/>
    <n v="13"/>
    <s v=""/>
  </r>
  <r>
    <x v="18"/>
    <d v="2021-02-20T00:00:00"/>
    <s v="PORJULNANFRA"/>
    <x v="14"/>
    <s v="GIEKERVERT3"/>
    <s v="Vert Emeraude  3"/>
    <n v="13"/>
    <n v="2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n v="31"/>
  </r>
  <r>
    <x v="1"/>
    <n v="39"/>
  </r>
  <r>
    <x v="2"/>
    <n v="16.5"/>
  </r>
  <r>
    <x v="3"/>
    <n v="24.5"/>
  </r>
  <r>
    <x v="4"/>
    <n v="34.5"/>
  </r>
  <r>
    <x v="5"/>
    <n v="32.5"/>
  </r>
  <r>
    <x v="6"/>
    <n v="57.5"/>
  </r>
  <r>
    <x v="7"/>
    <n v="63.5"/>
  </r>
  <r>
    <x v="8"/>
    <n v="79"/>
  </r>
  <r>
    <x v="9"/>
    <n v="33.5"/>
  </r>
  <r>
    <x v="10"/>
    <n v="19"/>
  </r>
  <r>
    <x v="11"/>
    <n v="26"/>
  </r>
  <r>
    <x v="12"/>
    <n v="19.5"/>
  </r>
  <r>
    <x v="13"/>
    <n v="42"/>
  </r>
  <r>
    <x v="14"/>
    <n v="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799A92-E664-48A0-B3FA-FD114C2D3905}" name="Tableau croisé dynamique6" cacheId="2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>
  <location ref="D1:E17" firstHeaderRow="1" firstDataRow="1" firstDataCol="1"/>
  <pivotFields count="2"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omme de Somme de Montant TTC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CD0969-DE69-45A0-BAE4-F1493441AC49}" name="Tableau croisé dynamique3" cacheId="15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:B17" firstHeaderRow="1" firstDataRow="1" firstDataCol="1"/>
  <pivotFields count="8">
    <pivotField showAll="0">
      <items count="20">
        <item x="0"/>
        <item x="1"/>
        <item x="2"/>
        <item x="3"/>
        <item x="4"/>
        <item x="6"/>
        <item x="5"/>
        <item x="7"/>
        <item x="8"/>
        <item x="11"/>
        <item x="9"/>
        <item x="10"/>
        <item x="12"/>
        <item x="13"/>
        <item x="14"/>
        <item x="15"/>
        <item x="16"/>
        <item x="17"/>
        <item x="18"/>
        <item t="default"/>
      </items>
    </pivotField>
    <pivotField numFmtId="14" showAll="0"/>
    <pivotField showAll="0"/>
    <pivotField axis="axisRow" showAll="0">
      <items count="16">
        <item x="10"/>
        <item x="6"/>
        <item x="0"/>
        <item x="7"/>
        <item x="1"/>
        <item x="9"/>
        <item x="11"/>
        <item x="8"/>
        <item x="2"/>
        <item x="4"/>
        <item x="5"/>
        <item x="14"/>
        <item x="12"/>
        <item x="13"/>
        <item x="3"/>
        <item t="default"/>
      </items>
    </pivotField>
    <pivotField showAll="0"/>
    <pivotField showAll="0"/>
    <pivotField dataField="1" showAll="0"/>
    <pivotField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omme de Montant TTC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24"/>
  <sheetViews>
    <sheetView tabSelected="1" zoomScaleNormal="100" zoomScalePageLayoutView="60" workbookViewId="0">
      <selection activeCell="H24" sqref="H24"/>
    </sheetView>
  </sheetViews>
  <sheetFormatPr baseColWidth="10" defaultRowHeight="15" x14ac:dyDescent="0.25"/>
  <cols>
    <col min="2" max="2" width="22.7109375" bestFit="1" customWidth="1"/>
    <col min="3" max="3" width="17" bestFit="1" customWidth="1"/>
    <col min="4" max="4" width="18.42578125" customWidth="1"/>
    <col min="5" max="5" width="14" bestFit="1" customWidth="1"/>
    <col min="6" max="6" width="32.7109375" bestFit="1" customWidth="1"/>
    <col min="7" max="7" width="12.140625" style="18" customWidth="1"/>
    <col min="8" max="8" width="15.5703125" bestFit="1" customWidth="1"/>
    <col min="9" max="9" width="26.140625" bestFit="1" customWidth="1"/>
    <col min="10" max="10" width="16.85546875" bestFit="1" customWidth="1"/>
    <col min="11" max="11" width="28.7109375" bestFit="1" customWidth="1"/>
  </cols>
  <sheetData>
    <row r="1" spans="2:10" ht="15.75" thickBot="1" x14ac:dyDescent="0.3"/>
    <row r="2" spans="2:10" ht="18" x14ac:dyDescent="0.25">
      <c r="F2" s="56" t="s">
        <v>149</v>
      </c>
    </row>
    <row r="3" spans="2:10" ht="18.75" thickBot="1" x14ac:dyDescent="0.3">
      <c r="F3" s="57" t="s">
        <v>153</v>
      </c>
    </row>
    <row r="4" spans="2:10" ht="15.75" thickBot="1" x14ac:dyDescent="0.3"/>
    <row r="5" spans="2:10" ht="18.75" thickBot="1" x14ac:dyDescent="0.3">
      <c r="B5" s="42" t="s">
        <v>71</v>
      </c>
      <c r="C5" s="68" t="s">
        <v>65</v>
      </c>
      <c r="D5" s="69" t="s">
        <v>66</v>
      </c>
      <c r="E5" s="69" t="s">
        <v>67</v>
      </c>
      <c r="F5" s="69" t="s">
        <v>68</v>
      </c>
      <c r="G5" s="70" t="s">
        <v>42</v>
      </c>
      <c r="H5" s="69" t="s">
        <v>69</v>
      </c>
      <c r="I5" s="71" t="s">
        <v>70</v>
      </c>
      <c r="J5" s="41" t="s">
        <v>171</v>
      </c>
    </row>
    <row r="6" spans="2:10" ht="20.100000000000001" customHeight="1" thickBot="1" x14ac:dyDescent="0.3">
      <c r="B6" s="9" t="str">
        <f>CONCATENATE(UPPER(LEFT(D6,3)),UPPER(LEFT(E6,3)),UPPER(LEFT(H6,3)),UPPER(LEFT(I6,3)),)</f>
        <v>BEUODEBRUBEL</v>
      </c>
      <c r="C6" s="10" t="s">
        <v>6</v>
      </c>
      <c r="D6" s="4" t="s">
        <v>25</v>
      </c>
      <c r="E6" s="4" t="s">
        <v>26</v>
      </c>
      <c r="F6" s="4" t="s">
        <v>59</v>
      </c>
      <c r="G6" s="14" t="s">
        <v>74</v>
      </c>
      <c r="H6" s="4" t="s">
        <v>27</v>
      </c>
      <c r="I6" s="37" t="s">
        <v>28</v>
      </c>
      <c r="J6" s="54">
        <f>IFERROR(VLOOKUP(D6 &amp; " " &amp; E6, 'Total des ventes par clients'!$A$2:$B$16, 2, 0),0)</f>
        <v>31</v>
      </c>
    </row>
    <row r="7" spans="2:10" ht="20.100000000000001" customHeight="1" thickBot="1" x14ac:dyDescent="0.3">
      <c r="B7" s="9" t="str">
        <f t="shared" ref="B7:B21" si="0">CONCATENATE(UPPER(LEFT(D7,3)),UPPER(LEFT(E7,3)),UPPER(LEFT(H7,3)),UPPER(LEFT(I7,3)),)</f>
        <v>BINJULNICFRA</v>
      </c>
      <c r="C7" s="11" t="s">
        <v>0</v>
      </c>
      <c r="D7" s="1" t="s">
        <v>16</v>
      </c>
      <c r="E7" s="1" t="s">
        <v>17</v>
      </c>
      <c r="F7" s="1" t="s">
        <v>18</v>
      </c>
      <c r="G7" s="15" t="s">
        <v>73</v>
      </c>
      <c r="H7" s="1" t="s">
        <v>19</v>
      </c>
      <c r="I7" s="38" t="s">
        <v>5</v>
      </c>
      <c r="J7" s="54">
        <f>IFERROR(VLOOKUP(D7 &amp; " " &amp; E7, 'Total des ventes par clients'!$A$2:$B$16, 2, 0),0)</f>
        <v>39</v>
      </c>
    </row>
    <row r="8" spans="2:10" ht="20.100000000000001" customHeight="1" thickBot="1" x14ac:dyDescent="0.3">
      <c r="B8" s="9" t="str">
        <f t="shared" si="0"/>
        <v>CAIMICRENFRA</v>
      </c>
      <c r="C8" s="12" t="s">
        <v>0</v>
      </c>
      <c r="D8" s="2" t="s">
        <v>43</v>
      </c>
      <c r="E8" s="2" t="s">
        <v>44</v>
      </c>
      <c r="F8" s="2" t="s">
        <v>55</v>
      </c>
      <c r="G8" s="16">
        <v>35000</v>
      </c>
      <c r="H8" s="2" t="s">
        <v>38</v>
      </c>
      <c r="I8" s="38" t="s">
        <v>5</v>
      </c>
      <c r="J8" s="54">
        <f>IFERROR(VLOOKUP(D8 &amp; " " &amp; E8, 'Total des ventes par clients'!$A$2:$B$16, 2, 0),0)</f>
        <v>16.5</v>
      </c>
    </row>
    <row r="9" spans="2:10" ht="20.100000000000001" customHeight="1" thickBot="1" x14ac:dyDescent="0.3">
      <c r="B9" s="9" t="str">
        <f t="shared" si="0"/>
        <v>CURARTLYOFRA</v>
      </c>
      <c r="C9" s="11" t="s">
        <v>0</v>
      </c>
      <c r="D9" s="1" t="s">
        <v>12</v>
      </c>
      <c r="E9" s="1" t="s">
        <v>13</v>
      </c>
      <c r="F9" s="1" t="s">
        <v>14</v>
      </c>
      <c r="G9" s="16">
        <v>69100</v>
      </c>
      <c r="H9" s="1" t="s">
        <v>15</v>
      </c>
      <c r="I9" s="38" t="s">
        <v>5</v>
      </c>
      <c r="J9" s="54">
        <f>IFERROR(VLOOKUP(D9 &amp; " " &amp; E9, 'Total des ventes par clients'!$A$2:$B$16, 2, 0),0)</f>
        <v>24.5</v>
      </c>
    </row>
    <row r="10" spans="2:10" ht="20.100000000000001" customHeight="1" thickBot="1" x14ac:dyDescent="0.3">
      <c r="B10" s="9" t="str">
        <f t="shared" si="0"/>
        <v>DESSOPRENFRA</v>
      </c>
      <c r="C10" s="11" t="s">
        <v>6</v>
      </c>
      <c r="D10" s="1" t="s">
        <v>37</v>
      </c>
      <c r="E10" s="1" t="s">
        <v>36</v>
      </c>
      <c r="F10" s="1" t="s">
        <v>63</v>
      </c>
      <c r="G10" s="16">
        <v>35000</v>
      </c>
      <c r="H10" s="1" t="s">
        <v>38</v>
      </c>
      <c r="I10" s="38" t="s">
        <v>5</v>
      </c>
      <c r="J10" s="54">
        <f>IFERROR(VLOOKUP(D10 &amp; " " &amp; E10, 'Total des ventes par clients'!$A$2:$B$16, 2, 0),0)</f>
        <v>34.5</v>
      </c>
    </row>
    <row r="11" spans="2:10" ht="20.100000000000001" customHeight="1" thickBot="1" x14ac:dyDescent="0.3">
      <c r="B11" s="9" t="str">
        <f t="shared" si="0"/>
        <v>DUBJEANANFRA</v>
      </c>
      <c r="C11" s="11" t="s">
        <v>0</v>
      </c>
      <c r="D11" s="1" t="s">
        <v>30</v>
      </c>
      <c r="E11" s="1" t="s">
        <v>29</v>
      </c>
      <c r="F11" s="1" t="s">
        <v>60</v>
      </c>
      <c r="G11" s="16">
        <v>44000</v>
      </c>
      <c r="H11" s="1" t="s">
        <v>31</v>
      </c>
      <c r="I11" s="39" t="s">
        <v>5</v>
      </c>
      <c r="J11" s="54">
        <f>IFERROR(VLOOKUP(D11 &amp; " " &amp; E11, 'Total des ventes par clients'!$A$2:$B$16, 2, 0),0)</f>
        <v>32.5</v>
      </c>
    </row>
    <row r="12" spans="2:10" ht="20.100000000000001" customHeight="1" thickBot="1" x14ac:dyDescent="0.3">
      <c r="B12" s="9" t="str">
        <f t="shared" si="0"/>
        <v>HOLSHENANFRA</v>
      </c>
      <c r="C12" s="12" t="s">
        <v>0</v>
      </c>
      <c r="D12" s="2" t="s">
        <v>47</v>
      </c>
      <c r="E12" s="2" t="s">
        <v>48</v>
      </c>
      <c r="F12" s="2" t="s">
        <v>57</v>
      </c>
      <c r="G12" s="16">
        <v>44100</v>
      </c>
      <c r="H12" s="2" t="s">
        <v>31</v>
      </c>
      <c r="I12" s="38" t="s">
        <v>5</v>
      </c>
      <c r="J12" s="54">
        <f>IFERROR(VLOOKUP(D12 &amp; " " &amp; E12, 'Total des ventes par clients'!$A$2:$B$16, 2, 0),0)</f>
        <v>57.5</v>
      </c>
    </row>
    <row r="13" spans="2:10" ht="20.100000000000001" customHeight="1" thickBot="1" x14ac:dyDescent="0.3">
      <c r="B13" s="9" t="str">
        <f t="shared" si="0"/>
        <v>HOUSÉBMARFRA</v>
      </c>
      <c r="C13" s="11" t="s">
        <v>0</v>
      </c>
      <c r="D13" s="1" t="s">
        <v>1</v>
      </c>
      <c r="E13" s="1" t="s">
        <v>2</v>
      </c>
      <c r="F13" s="1" t="s">
        <v>3</v>
      </c>
      <c r="G13" s="16">
        <v>13210</v>
      </c>
      <c r="H13" s="1" t="s">
        <v>4</v>
      </c>
      <c r="I13" s="38" t="s">
        <v>5</v>
      </c>
      <c r="J13" s="54">
        <f>IFERROR(VLOOKUP(D13 &amp; " " &amp; E13, 'Total des ventes par clients'!$A$2:$B$16, 2, 0),0)</f>
        <v>0</v>
      </c>
    </row>
    <row r="14" spans="2:10" ht="20.100000000000001" customHeight="1" thickBot="1" x14ac:dyDescent="0.3">
      <c r="B14" s="9" t="str">
        <f t="shared" si="0"/>
        <v>IRVAMYNANFRA</v>
      </c>
      <c r="C14" s="12" t="s">
        <v>6</v>
      </c>
      <c r="D14" s="2" t="s">
        <v>49</v>
      </c>
      <c r="E14" s="2" t="s">
        <v>50</v>
      </c>
      <c r="F14" s="2" t="s">
        <v>54</v>
      </c>
      <c r="G14" s="16">
        <v>44300</v>
      </c>
      <c r="H14" s="2" t="s">
        <v>31</v>
      </c>
      <c r="I14" s="38" t="s">
        <v>5</v>
      </c>
      <c r="J14" s="54">
        <f>IFERROR(VLOOKUP(D14 &amp; " " &amp; E14, 'Total des ventes par clients'!$A$2:$B$16, 2, 0),0)</f>
        <v>63.5</v>
      </c>
    </row>
    <row r="15" spans="2:10" ht="20.100000000000001" customHeight="1" thickBot="1" x14ac:dyDescent="0.3">
      <c r="B15" s="9" t="str">
        <f t="shared" si="0"/>
        <v>IZGBERLONGRA</v>
      </c>
      <c r="C15" s="11" t="s">
        <v>6</v>
      </c>
      <c r="D15" s="1" t="s">
        <v>20</v>
      </c>
      <c r="E15" s="1" t="s">
        <v>21</v>
      </c>
      <c r="F15" s="1" t="s">
        <v>22</v>
      </c>
      <c r="G15" s="16">
        <v>675490</v>
      </c>
      <c r="H15" s="1" t="s">
        <v>23</v>
      </c>
      <c r="I15" s="38" t="s">
        <v>24</v>
      </c>
      <c r="J15" s="54">
        <f>IFERROR(VLOOKUP(D15 &amp; " " &amp; E15, 'Total des ventes par clients'!$A$2:$B$16, 2, 0),0)</f>
        <v>79</v>
      </c>
    </row>
    <row r="16" spans="2:10" ht="20.100000000000001" customHeight="1" thickBot="1" x14ac:dyDescent="0.3">
      <c r="B16" s="9" t="str">
        <f t="shared" si="0"/>
        <v>LAPMAXNANFRA</v>
      </c>
      <c r="C16" s="11" t="s">
        <v>0</v>
      </c>
      <c r="D16" s="1" t="s">
        <v>35</v>
      </c>
      <c r="E16" s="1" t="s">
        <v>34</v>
      </c>
      <c r="F16" s="1" t="s">
        <v>62</v>
      </c>
      <c r="G16" s="16">
        <v>44000</v>
      </c>
      <c r="H16" s="1" t="s">
        <v>31</v>
      </c>
      <c r="I16" s="38" t="s">
        <v>5</v>
      </c>
      <c r="J16" s="54">
        <f>IFERROR(VLOOKUP(D16 &amp; " " &amp; E16, 'Total des ventes par clients'!$A$2:$B$16, 2, 0),0)</f>
        <v>33.5</v>
      </c>
    </row>
    <row r="17" spans="2:10" ht="20.100000000000001" customHeight="1" thickBot="1" x14ac:dyDescent="0.3">
      <c r="B17" s="9" t="str">
        <f t="shared" si="0"/>
        <v>LEVMARANGFRA</v>
      </c>
      <c r="C17" s="11" t="s">
        <v>6</v>
      </c>
      <c r="D17" s="1" t="s">
        <v>40</v>
      </c>
      <c r="E17" s="1" t="s">
        <v>39</v>
      </c>
      <c r="F17" s="1" t="s">
        <v>64</v>
      </c>
      <c r="G17" s="16">
        <v>49000</v>
      </c>
      <c r="H17" s="1" t="s">
        <v>41</v>
      </c>
      <c r="I17" s="38" t="s">
        <v>5</v>
      </c>
      <c r="J17" s="54">
        <f>IFERROR(VLOOKUP(D17 &amp; " " &amp; E17, 'Total des ventes par clients'!$A$2:$B$16, 2, 0),0)</f>
        <v>19</v>
      </c>
    </row>
    <row r="18" spans="2:10" ht="20.100000000000001" customHeight="1" thickBot="1" x14ac:dyDescent="0.3">
      <c r="B18" s="9" t="str">
        <f t="shared" si="0"/>
        <v>PORJULNANFRA</v>
      </c>
      <c r="C18" s="11" t="s">
        <v>6</v>
      </c>
      <c r="D18" s="1" t="s">
        <v>33</v>
      </c>
      <c r="E18" s="1" t="s">
        <v>32</v>
      </c>
      <c r="F18" s="1" t="s">
        <v>61</v>
      </c>
      <c r="G18" s="16">
        <v>44400</v>
      </c>
      <c r="H18" s="1" t="s">
        <v>31</v>
      </c>
      <c r="I18" s="38" t="s">
        <v>5</v>
      </c>
      <c r="J18" s="54">
        <f>IFERROR(VLOOKUP(D18 &amp; " " &amp; E18, 'Total des ventes par clients'!$A$2:$B$16, 2, 0),0)</f>
        <v>26</v>
      </c>
    </row>
    <row r="19" spans="2:10" ht="20.100000000000001" customHeight="1" thickBot="1" x14ac:dyDescent="0.3">
      <c r="B19" s="9" t="str">
        <f t="shared" si="0"/>
        <v>PREJEARENFRA</v>
      </c>
      <c r="C19" s="12" t="s">
        <v>6</v>
      </c>
      <c r="D19" s="2" t="s">
        <v>45</v>
      </c>
      <c r="E19" s="2" t="s">
        <v>46</v>
      </c>
      <c r="F19" s="2" t="s">
        <v>56</v>
      </c>
      <c r="G19" s="16">
        <v>35000</v>
      </c>
      <c r="H19" s="2" t="s">
        <v>38</v>
      </c>
      <c r="I19" s="38" t="s">
        <v>5</v>
      </c>
      <c r="J19" s="54">
        <f>IFERROR(VLOOKUP(D19 &amp; " " &amp; E19, 'Total des ventes par clients'!$A$2:$B$16, 2, 0),0)</f>
        <v>19.5</v>
      </c>
    </row>
    <row r="20" spans="2:10" ht="20.100000000000001" customHeight="1" thickBot="1" x14ac:dyDescent="0.3">
      <c r="B20" s="9" t="str">
        <f t="shared" si="0"/>
        <v>REGOTAGENSUI</v>
      </c>
      <c r="C20" s="11" t="s">
        <v>6</v>
      </c>
      <c r="D20" s="1" t="s">
        <v>7</v>
      </c>
      <c r="E20" s="1" t="s">
        <v>8</v>
      </c>
      <c r="F20" s="1" t="s">
        <v>9</v>
      </c>
      <c r="G20" s="16">
        <v>1212</v>
      </c>
      <c r="H20" s="1" t="s">
        <v>10</v>
      </c>
      <c r="I20" s="38" t="s">
        <v>11</v>
      </c>
      <c r="J20" s="54">
        <f>IFERROR(VLOOKUP(D20 &amp; " " &amp; E20, 'Total des ventes par clients'!$A$2:$B$16, 2, 0),0)</f>
        <v>42</v>
      </c>
    </row>
    <row r="21" spans="2:10" ht="20.100000000000001" customHeight="1" thickBot="1" x14ac:dyDescent="0.3">
      <c r="B21" s="9" t="str">
        <f t="shared" si="0"/>
        <v>WALEVANANFRA</v>
      </c>
      <c r="C21" s="13" t="s">
        <v>51</v>
      </c>
      <c r="D21" s="3" t="s">
        <v>52</v>
      </c>
      <c r="E21" s="3" t="s">
        <v>53</v>
      </c>
      <c r="F21" s="3" t="s">
        <v>58</v>
      </c>
      <c r="G21" s="17">
        <v>44000</v>
      </c>
      <c r="H21" s="3" t="s">
        <v>31</v>
      </c>
      <c r="I21" s="40" t="s">
        <v>5</v>
      </c>
      <c r="J21" s="54">
        <f>IFERROR(VLOOKUP(D21 &amp; " " &amp; E21, 'Total des ventes par clients'!$A$2:$B$16, 2, 0),0)</f>
        <v>55</v>
      </c>
    </row>
    <row r="22" spans="2:10" ht="16.5" thickBot="1" x14ac:dyDescent="0.3">
      <c r="B22" s="35"/>
      <c r="C22" s="35"/>
      <c r="D22" s="35"/>
      <c r="E22" s="35"/>
      <c r="F22" s="35"/>
      <c r="G22" s="72"/>
      <c r="H22" s="35"/>
      <c r="I22" s="73"/>
      <c r="J22" s="55">
        <f>SUM(J6:J21)</f>
        <v>573</v>
      </c>
    </row>
    <row r="23" spans="2:10" x14ac:dyDescent="0.25">
      <c r="B23" s="35"/>
      <c r="C23" s="35"/>
      <c r="D23" s="35"/>
      <c r="E23" s="35"/>
      <c r="G23" s="72"/>
      <c r="H23" s="35"/>
      <c r="I23" s="74"/>
      <c r="J23" s="35"/>
    </row>
    <row r="24" spans="2:10" x14ac:dyDescent="0.25">
      <c r="B24" s="35"/>
      <c r="C24" s="35"/>
      <c r="D24" s="35"/>
      <c r="E24" s="35"/>
      <c r="G24" s="72"/>
      <c r="H24" s="35"/>
      <c r="I24" s="35"/>
      <c r="J24" s="35"/>
    </row>
  </sheetData>
  <sortState xmlns:xlrd2="http://schemas.microsoft.com/office/spreadsheetml/2017/richdata2" ref="B5:J20">
    <sortCondition ref="D5"/>
  </sortState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1" orientation="landscape" r:id="rId1"/>
  <headerFooter>
    <oddHeader>&amp;C&amp;"+,Gras italique"&amp;16Liste des clients</oddHeader>
  </headerFooter>
  <ignoredErrors>
    <ignoredError sqref="G6:G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J34"/>
  <sheetViews>
    <sheetView zoomScaleNormal="100" workbookViewId="0">
      <selection activeCell="I35" sqref="I35"/>
    </sheetView>
  </sheetViews>
  <sheetFormatPr baseColWidth="10" defaultRowHeight="15" x14ac:dyDescent="0.25"/>
  <cols>
    <col min="2" max="2" width="16.7109375" customWidth="1"/>
    <col min="3" max="4" width="19.7109375" style="5" customWidth="1"/>
    <col min="5" max="5" width="11.7109375" style="5" customWidth="1"/>
    <col min="6" max="7" width="12.7109375" style="5" customWidth="1"/>
    <col min="8" max="8" width="11.7109375" customWidth="1"/>
    <col min="9" max="10" width="10.7109375" customWidth="1"/>
  </cols>
  <sheetData>
    <row r="1" spans="2:10" ht="15.75" thickBot="1" x14ac:dyDescent="0.3"/>
    <row r="2" spans="2:10" ht="18" x14ac:dyDescent="0.25">
      <c r="D2" s="84" t="s">
        <v>149</v>
      </c>
      <c r="E2" s="85"/>
      <c r="F2" s="86"/>
    </row>
    <row r="3" spans="2:10" ht="18.75" thickBot="1" x14ac:dyDescent="0.3">
      <c r="D3" s="87" t="s">
        <v>98</v>
      </c>
      <c r="E3" s="88"/>
      <c r="F3" s="89"/>
    </row>
    <row r="4" spans="2:10" ht="15.75" thickBot="1" x14ac:dyDescent="0.3"/>
    <row r="5" spans="2:10" ht="18" x14ac:dyDescent="0.25">
      <c r="B5" s="76" t="s">
        <v>107</v>
      </c>
      <c r="C5" s="80" t="s">
        <v>98</v>
      </c>
      <c r="D5" s="81"/>
      <c r="E5" s="82"/>
      <c r="F5" s="90" t="s">
        <v>75</v>
      </c>
      <c r="G5" s="91"/>
      <c r="H5" s="78" t="s">
        <v>111</v>
      </c>
      <c r="I5" s="83" t="s">
        <v>174</v>
      </c>
      <c r="J5" s="83" t="s">
        <v>175</v>
      </c>
    </row>
    <row r="6" spans="2:10" ht="18.75" thickBot="1" x14ac:dyDescent="0.3">
      <c r="B6" s="77"/>
      <c r="C6" s="25" t="s">
        <v>93</v>
      </c>
      <c r="D6" s="26" t="s">
        <v>66</v>
      </c>
      <c r="E6" s="33" t="s">
        <v>94</v>
      </c>
      <c r="F6" s="25" t="s">
        <v>66</v>
      </c>
      <c r="G6" s="26" t="s">
        <v>67</v>
      </c>
      <c r="H6" s="79"/>
      <c r="I6" s="79"/>
      <c r="J6" s="79"/>
    </row>
    <row r="7" spans="2:10" ht="16.5" thickBot="1" x14ac:dyDescent="0.3">
      <c r="B7" s="27" t="str">
        <f>CONCATENATE(UPPER(LEFT(F7,3)),UPPER(LEFT(G7,3)),UPPER(LEFT(C7,4)),UPPER(RIGHT(E7,1)))</f>
        <v>COLSUZHUNG1</v>
      </c>
      <c r="C7" s="22" t="s">
        <v>79</v>
      </c>
      <c r="D7" s="21"/>
      <c r="E7" s="20" t="s">
        <v>108</v>
      </c>
      <c r="F7" s="22" t="s">
        <v>84</v>
      </c>
      <c r="G7" s="28" t="s">
        <v>85</v>
      </c>
      <c r="H7" s="30">
        <v>17</v>
      </c>
      <c r="I7" s="66">
        <f>COUNTIFS(produits,B7)</f>
        <v>2</v>
      </c>
      <c r="J7" s="93">
        <f>I7/SUM($I$7:$I$33)</f>
        <v>5.7142857142857141E-2</v>
      </c>
    </row>
    <row r="8" spans="2:10" ht="16.5" thickBot="1" x14ac:dyDescent="0.3">
      <c r="B8" s="27" t="str">
        <f t="shared" ref="B8:B33" si="0">CONCATENATE(UPPER(LEFT(F8,3)),UPPER(LEFT(G8,3)),UPPER(LEFT(C8,4)),UPPER(RIGHT(E8,1)))</f>
        <v>COLSUZHUNG2</v>
      </c>
      <c r="C8" s="23" t="s">
        <v>79</v>
      </c>
      <c r="D8" s="21" t="s">
        <v>99</v>
      </c>
      <c r="E8" s="21" t="s">
        <v>109</v>
      </c>
      <c r="F8" s="23" t="s">
        <v>84</v>
      </c>
      <c r="G8" s="29" t="s">
        <v>85</v>
      </c>
      <c r="H8" s="31">
        <v>17</v>
      </c>
      <c r="I8" s="66">
        <f>COUNTIFS(produits,B8)</f>
        <v>1</v>
      </c>
      <c r="J8" s="93">
        <f t="shared" ref="J8:J33" si="1">I8/SUM($I$7:$I$33)</f>
        <v>2.8571428571428571E-2</v>
      </c>
    </row>
    <row r="9" spans="2:10" ht="16.5" thickBot="1" x14ac:dyDescent="0.3">
      <c r="B9" s="27" t="str">
        <f t="shared" si="0"/>
        <v>COLSUZHUNG3</v>
      </c>
      <c r="C9" s="23" t="s">
        <v>79</v>
      </c>
      <c r="D9" s="21" t="s">
        <v>125</v>
      </c>
      <c r="E9" s="21" t="s">
        <v>110</v>
      </c>
      <c r="F9" s="23" t="s">
        <v>84</v>
      </c>
      <c r="G9" s="29" t="s">
        <v>85</v>
      </c>
      <c r="H9" s="31">
        <v>17.5</v>
      </c>
      <c r="I9" s="66">
        <f>COUNTIFS(produits,B9)</f>
        <v>0</v>
      </c>
      <c r="J9" s="93">
        <f t="shared" si="1"/>
        <v>0</v>
      </c>
    </row>
    <row r="10" spans="2:10" ht="16.5" thickBot="1" x14ac:dyDescent="0.3">
      <c r="B10" s="27" t="str">
        <f t="shared" si="0"/>
        <v>DASJAMLABY1</v>
      </c>
      <c r="C10" s="23" t="s">
        <v>132</v>
      </c>
      <c r="D10" s="21" t="s">
        <v>95</v>
      </c>
      <c r="E10" s="21" t="s">
        <v>108</v>
      </c>
      <c r="F10" s="23" t="s">
        <v>83</v>
      </c>
      <c r="G10" s="29" t="s">
        <v>87</v>
      </c>
      <c r="H10" s="31">
        <v>15.5</v>
      </c>
      <c r="I10" s="66">
        <f>COUNTIFS(produits,B10)</f>
        <v>3</v>
      </c>
      <c r="J10" s="93">
        <f t="shared" si="1"/>
        <v>8.5714285714285715E-2</v>
      </c>
    </row>
    <row r="11" spans="2:10" ht="16.5" thickBot="1" x14ac:dyDescent="0.3">
      <c r="B11" s="27" t="str">
        <f t="shared" si="0"/>
        <v>DASJAMLABY2</v>
      </c>
      <c r="C11" s="23" t="s">
        <v>132</v>
      </c>
      <c r="D11" s="21" t="s">
        <v>96</v>
      </c>
      <c r="E11" s="21" t="s">
        <v>109</v>
      </c>
      <c r="F11" s="23" t="s">
        <v>83</v>
      </c>
      <c r="G11" s="29" t="s">
        <v>87</v>
      </c>
      <c r="H11" s="31">
        <v>16</v>
      </c>
      <c r="I11" s="66">
        <f>COUNTIFS(produits,B11)</f>
        <v>0</v>
      </c>
      <c r="J11" s="93">
        <f t="shared" si="1"/>
        <v>0</v>
      </c>
    </row>
    <row r="12" spans="2:10" ht="16.5" thickBot="1" x14ac:dyDescent="0.3">
      <c r="B12" s="27" t="str">
        <f t="shared" si="0"/>
        <v>DASJAMLABY3</v>
      </c>
      <c r="C12" s="23" t="s">
        <v>132</v>
      </c>
      <c r="D12" s="21" t="s">
        <v>97</v>
      </c>
      <c r="E12" s="21" t="s">
        <v>110</v>
      </c>
      <c r="F12" s="23" t="s">
        <v>83</v>
      </c>
      <c r="G12" s="29" t="s">
        <v>87</v>
      </c>
      <c r="H12" s="31">
        <v>16.5</v>
      </c>
      <c r="I12" s="66">
        <f>COUNTIFS(produits,B12)</f>
        <v>0</v>
      </c>
      <c r="J12" s="93">
        <f t="shared" si="1"/>
        <v>0</v>
      </c>
    </row>
    <row r="13" spans="2:10" ht="16.5" thickBot="1" x14ac:dyDescent="0.3">
      <c r="B13" s="27" t="str">
        <f t="shared" si="0"/>
        <v>GIEKERROUG1</v>
      </c>
      <c r="C13" s="23" t="s">
        <v>76</v>
      </c>
      <c r="E13" s="21" t="s">
        <v>108</v>
      </c>
      <c r="F13" s="23" t="s">
        <v>82</v>
      </c>
      <c r="G13" s="29" t="s">
        <v>86</v>
      </c>
      <c r="H13" s="31">
        <v>13.5</v>
      </c>
      <c r="I13" s="66">
        <f>COUNTIFS(produits,B13)</f>
        <v>1</v>
      </c>
      <c r="J13" s="93">
        <f t="shared" si="1"/>
        <v>2.8571428571428571E-2</v>
      </c>
    </row>
    <row r="14" spans="2:10" ht="16.5" thickBot="1" x14ac:dyDescent="0.3">
      <c r="B14" s="27" t="str">
        <f t="shared" si="0"/>
        <v>GIEKERBLEU2</v>
      </c>
      <c r="C14" s="23" t="s">
        <v>78</v>
      </c>
      <c r="E14" s="21" t="s">
        <v>109</v>
      </c>
      <c r="F14" s="23" t="s">
        <v>82</v>
      </c>
      <c r="G14" s="29" t="s">
        <v>86</v>
      </c>
      <c r="H14" s="31">
        <v>13</v>
      </c>
      <c r="I14" s="66">
        <f>COUNTIFS(produits,B14)</f>
        <v>3</v>
      </c>
      <c r="J14" s="93">
        <f t="shared" si="1"/>
        <v>8.5714285714285715E-2</v>
      </c>
    </row>
    <row r="15" spans="2:10" ht="16.5" thickBot="1" x14ac:dyDescent="0.3">
      <c r="B15" s="27" t="str">
        <f t="shared" si="0"/>
        <v>GIEKERVERT3</v>
      </c>
      <c r="C15" s="23" t="s">
        <v>77</v>
      </c>
      <c r="E15" s="21" t="s">
        <v>110</v>
      </c>
      <c r="F15" s="23" t="s">
        <v>82</v>
      </c>
      <c r="G15" s="29" t="s">
        <v>86</v>
      </c>
      <c r="H15" s="31">
        <v>13</v>
      </c>
      <c r="I15" s="66">
        <f>COUNTIFS(produits,B15)</f>
        <v>2</v>
      </c>
      <c r="J15" s="93">
        <f t="shared" si="1"/>
        <v>5.7142857142857141E-2</v>
      </c>
    </row>
    <row r="16" spans="2:10" ht="16.5" thickBot="1" x14ac:dyDescent="0.3">
      <c r="B16" s="27" t="str">
        <f t="shared" si="0"/>
        <v>MARGEOGAME1</v>
      </c>
      <c r="C16" s="23" t="s">
        <v>106</v>
      </c>
      <c r="D16" s="21" t="s">
        <v>100</v>
      </c>
      <c r="E16" s="21" t="s">
        <v>108</v>
      </c>
      <c r="F16" s="23" t="s">
        <v>88</v>
      </c>
      <c r="G16" s="29" t="s">
        <v>89</v>
      </c>
      <c r="H16" s="31">
        <v>19</v>
      </c>
      <c r="I16" s="66">
        <f>COUNTIFS(produits,B16)</f>
        <v>3</v>
      </c>
      <c r="J16" s="93">
        <f t="shared" si="1"/>
        <v>8.5714285714285715E-2</v>
      </c>
    </row>
    <row r="17" spans="2:10" ht="16.5" thickBot="1" x14ac:dyDescent="0.3">
      <c r="B17" s="27" t="str">
        <f t="shared" si="0"/>
        <v>MARGEOGAME2</v>
      </c>
      <c r="C17" s="23" t="s">
        <v>106</v>
      </c>
      <c r="D17" s="21" t="s">
        <v>101</v>
      </c>
      <c r="E17" s="21" t="s">
        <v>109</v>
      </c>
      <c r="F17" s="23" t="s">
        <v>88</v>
      </c>
      <c r="G17" s="29" t="s">
        <v>89</v>
      </c>
      <c r="H17" s="31">
        <v>19.5</v>
      </c>
      <c r="I17" s="66">
        <f>COUNTIFS(produits,B17)</f>
        <v>2</v>
      </c>
      <c r="J17" s="93">
        <f t="shared" si="1"/>
        <v>5.7142857142857141E-2</v>
      </c>
    </row>
    <row r="18" spans="2:10" ht="16.5" thickBot="1" x14ac:dyDescent="0.3">
      <c r="B18" s="27" t="str">
        <f t="shared" si="0"/>
        <v>MARGEOGAME3</v>
      </c>
      <c r="C18" s="23" t="s">
        <v>106</v>
      </c>
      <c r="D18" s="21" t="s">
        <v>102</v>
      </c>
      <c r="E18" s="21" t="s">
        <v>110</v>
      </c>
      <c r="F18" s="23" t="s">
        <v>88</v>
      </c>
      <c r="G18" s="29" t="s">
        <v>89</v>
      </c>
      <c r="H18" s="31">
        <v>19.5</v>
      </c>
      <c r="I18" s="66">
        <f>COUNTIFS(produits,B18)</f>
        <v>3</v>
      </c>
      <c r="J18" s="93">
        <f t="shared" si="1"/>
        <v>8.5714285714285715E-2</v>
      </c>
    </row>
    <row r="19" spans="2:10" ht="16.5" thickBot="1" x14ac:dyDescent="0.3">
      <c r="B19" s="27" t="str">
        <f t="shared" si="0"/>
        <v>MARGEOGAME4</v>
      </c>
      <c r="C19" s="23" t="s">
        <v>106</v>
      </c>
      <c r="D19" s="21" t="s">
        <v>103</v>
      </c>
      <c r="E19" s="21" t="s">
        <v>112</v>
      </c>
      <c r="F19" s="23" t="s">
        <v>88</v>
      </c>
      <c r="G19" s="29" t="s">
        <v>89</v>
      </c>
      <c r="H19" s="31">
        <v>21</v>
      </c>
      <c r="I19" s="66">
        <f>COUNTIFS(produits,B19)</f>
        <v>2</v>
      </c>
      <c r="J19" s="93">
        <f t="shared" si="1"/>
        <v>5.7142857142857141E-2</v>
      </c>
    </row>
    <row r="20" spans="2:10" ht="16.5" thickBot="1" x14ac:dyDescent="0.3">
      <c r="B20" s="27" t="str">
        <f t="shared" si="0"/>
        <v>MARGEOGAME5</v>
      </c>
      <c r="C20" s="23" t="s">
        <v>106</v>
      </c>
      <c r="D20" s="21" t="s">
        <v>126</v>
      </c>
      <c r="E20" s="21" t="s">
        <v>127</v>
      </c>
      <c r="F20" s="23" t="s">
        <v>88</v>
      </c>
      <c r="G20" s="29" t="s">
        <v>89</v>
      </c>
      <c r="H20" s="31">
        <v>21</v>
      </c>
      <c r="I20" s="66">
        <f>COUNTIFS(produits,B20)</f>
        <v>1</v>
      </c>
      <c r="J20" s="93">
        <f t="shared" si="1"/>
        <v>2.8571428571428571E-2</v>
      </c>
    </row>
    <row r="21" spans="2:10" ht="16.5" thickBot="1" x14ac:dyDescent="0.3">
      <c r="B21" s="27" t="str">
        <f t="shared" si="0"/>
        <v>PAOCHRERAG1</v>
      </c>
      <c r="C21" s="23" t="s">
        <v>90</v>
      </c>
      <c r="D21" s="21"/>
      <c r="E21" s="21" t="s">
        <v>108</v>
      </c>
      <c r="F21" s="23" t="s">
        <v>91</v>
      </c>
      <c r="G21" s="29" t="s">
        <v>92</v>
      </c>
      <c r="H21" s="31">
        <v>12</v>
      </c>
      <c r="I21" s="66">
        <f>COUNTIFS(produits,B21)</f>
        <v>2</v>
      </c>
      <c r="J21" s="93">
        <f t="shared" si="1"/>
        <v>5.7142857142857141E-2</v>
      </c>
    </row>
    <row r="22" spans="2:10" ht="16.5" thickBot="1" x14ac:dyDescent="0.3">
      <c r="B22" s="27" t="str">
        <f t="shared" si="0"/>
        <v>PAOCHRERAG2</v>
      </c>
      <c r="C22" s="23" t="s">
        <v>90</v>
      </c>
      <c r="D22" s="21" t="s">
        <v>131</v>
      </c>
      <c r="E22" s="21" t="s">
        <v>109</v>
      </c>
      <c r="F22" s="23" t="s">
        <v>91</v>
      </c>
      <c r="G22" s="29" t="s">
        <v>92</v>
      </c>
      <c r="H22" s="31">
        <v>12.5</v>
      </c>
      <c r="I22" s="66">
        <f>COUNTIFS(produits,B22)</f>
        <v>1</v>
      </c>
      <c r="J22" s="93">
        <f t="shared" si="1"/>
        <v>2.8571428571428571E-2</v>
      </c>
    </row>
    <row r="23" spans="2:10" ht="16.5" thickBot="1" x14ac:dyDescent="0.3">
      <c r="B23" s="27" t="str">
        <f t="shared" si="0"/>
        <v>PAOCHRERAG3</v>
      </c>
      <c r="C23" s="23" t="s">
        <v>90</v>
      </c>
      <c r="D23" s="21" t="s">
        <v>104</v>
      </c>
      <c r="E23" s="21" t="s">
        <v>110</v>
      </c>
      <c r="F23" s="23" t="s">
        <v>91</v>
      </c>
      <c r="G23" s="29" t="s">
        <v>92</v>
      </c>
      <c r="H23" s="31">
        <v>13</v>
      </c>
      <c r="I23" s="66">
        <f>COUNTIFS(produits,B23)</f>
        <v>0</v>
      </c>
      <c r="J23" s="93">
        <f t="shared" si="1"/>
        <v>0</v>
      </c>
    </row>
    <row r="24" spans="2:10" ht="16.5" thickBot="1" x14ac:dyDescent="0.3">
      <c r="B24" s="27" t="str">
        <f t="shared" si="0"/>
        <v>PAOCHRERAG4</v>
      </c>
      <c r="C24" s="23" t="s">
        <v>90</v>
      </c>
      <c r="D24" s="21" t="s">
        <v>105</v>
      </c>
      <c r="E24" s="21" t="s">
        <v>112</v>
      </c>
      <c r="F24" s="23" t="s">
        <v>91</v>
      </c>
      <c r="G24" s="29" t="s">
        <v>92</v>
      </c>
      <c r="H24" s="31">
        <v>14</v>
      </c>
      <c r="I24" s="66">
        <f>COUNTIFS(produits,B24)</f>
        <v>0</v>
      </c>
      <c r="J24" s="93">
        <f t="shared" si="1"/>
        <v>0</v>
      </c>
    </row>
    <row r="25" spans="2:10" ht="16.5" thickBot="1" x14ac:dyDescent="0.3">
      <c r="B25" s="27" t="str">
        <f t="shared" si="0"/>
        <v>ROTVERDIVE1</v>
      </c>
      <c r="C25" s="23" t="s">
        <v>128</v>
      </c>
      <c r="E25" s="21" t="s">
        <v>108</v>
      </c>
      <c r="F25" s="23" t="s">
        <v>81</v>
      </c>
      <c r="G25" s="29" t="s">
        <v>80</v>
      </c>
      <c r="H25" s="31">
        <v>14.5</v>
      </c>
      <c r="I25" s="66">
        <f>COUNTIFS(produits,B25)</f>
        <v>2</v>
      </c>
      <c r="J25" s="93">
        <f t="shared" si="1"/>
        <v>5.7142857142857141E-2</v>
      </c>
    </row>
    <row r="26" spans="2:10" ht="16.5" thickBot="1" x14ac:dyDescent="0.3">
      <c r="B26" s="27" t="str">
        <f t="shared" si="0"/>
        <v>ROTVERDIVE2</v>
      </c>
      <c r="C26" s="23" t="s">
        <v>128</v>
      </c>
      <c r="E26" s="21" t="s">
        <v>109</v>
      </c>
      <c r="F26" s="23" t="s">
        <v>81</v>
      </c>
      <c r="G26" s="29" t="s">
        <v>80</v>
      </c>
      <c r="H26" s="31">
        <v>14.5</v>
      </c>
      <c r="I26" s="66">
        <f>COUNTIFS(produits,B26)</f>
        <v>1</v>
      </c>
      <c r="J26" s="93">
        <f t="shared" si="1"/>
        <v>2.8571428571428571E-2</v>
      </c>
    </row>
    <row r="27" spans="2:10" ht="16.5" thickBot="1" x14ac:dyDescent="0.3">
      <c r="B27" s="27" t="str">
        <f t="shared" si="0"/>
        <v>ROTVERDIVE3</v>
      </c>
      <c r="C27" s="23" t="s">
        <v>128</v>
      </c>
      <c r="E27" s="21" t="s">
        <v>110</v>
      </c>
      <c r="F27" s="23" t="s">
        <v>81</v>
      </c>
      <c r="G27" s="29" t="s">
        <v>80</v>
      </c>
      <c r="H27" s="31">
        <v>15</v>
      </c>
      <c r="I27" s="66">
        <f>COUNTIFS(produits,B27)</f>
        <v>1</v>
      </c>
      <c r="J27" s="93">
        <f t="shared" si="1"/>
        <v>2.8571428571428571E-2</v>
      </c>
    </row>
    <row r="28" spans="2:10" ht="16.5" thickBot="1" x14ac:dyDescent="0.3">
      <c r="B28" s="27" t="str">
        <f t="shared" si="0"/>
        <v>ALDJUSMISÉ</v>
      </c>
      <c r="C28" s="23" t="s">
        <v>154</v>
      </c>
      <c r="F28" s="23" t="s">
        <v>155</v>
      </c>
      <c r="G28" s="51" t="s">
        <v>156</v>
      </c>
      <c r="H28" s="31">
        <v>16.5</v>
      </c>
      <c r="I28" s="66">
        <f>COUNTIFS(produits,B28)</f>
        <v>2</v>
      </c>
      <c r="J28" s="93">
        <f t="shared" si="1"/>
        <v>5.7142857142857141E-2</v>
      </c>
    </row>
    <row r="29" spans="2:10" ht="16.5" thickBot="1" x14ac:dyDescent="0.3">
      <c r="B29" s="27" t="str">
        <f t="shared" si="0"/>
        <v>ALDJUSPROF</v>
      </c>
      <c r="C29" s="23" t="s">
        <v>157</v>
      </c>
      <c r="F29" s="23" t="s">
        <v>155</v>
      </c>
      <c r="G29" s="51" t="s">
        <v>156</v>
      </c>
      <c r="H29" s="31">
        <v>17</v>
      </c>
      <c r="I29" s="66">
        <f>COUNTIFS(produits,B29)</f>
        <v>2</v>
      </c>
      <c r="J29" s="93">
        <f t="shared" si="1"/>
        <v>5.7142857142857141E-2</v>
      </c>
    </row>
    <row r="30" spans="2:10" ht="16.5" thickBot="1" x14ac:dyDescent="0.3">
      <c r="B30" s="27" t="str">
        <f t="shared" si="0"/>
        <v>ALDJUSDÉLI</v>
      </c>
      <c r="C30" s="23" t="s">
        <v>158</v>
      </c>
      <c r="F30" s="23" t="s">
        <v>155</v>
      </c>
      <c r="G30" s="51" t="s">
        <v>156</v>
      </c>
      <c r="H30" s="31">
        <v>17.5</v>
      </c>
      <c r="I30" s="66">
        <f>COUNTIFS(produits,B30)</f>
        <v>1</v>
      </c>
      <c r="J30" s="93">
        <f t="shared" si="1"/>
        <v>2.8571428571428571E-2</v>
      </c>
    </row>
    <row r="31" spans="2:10" ht="16.5" thickBot="1" x14ac:dyDescent="0.3">
      <c r="B31" s="27" t="str">
        <f t="shared" si="0"/>
        <v>ALDJUSDOSS</v>
      </c>
      <c r="C31" s="23" t="s">
        <v>159</v>
      </c>
      <c r="F31" s="23" t="s">
        <v>155</v>
      </c>
      <c r="G31" s="51" t="s">
        <v>156</v>
      </c>
      <c r="H31" s="31">
        <v>18</v>
      </c>
      <c r="I31" s="66">
        <f>COUNTIFS(produits,B31)</f>
        <v>0</v>
      </c>
      <c r="J31" s="93">
        <f t="shared" si="1"/>
        <v>0</v>
      </c>
    </row>
    <row r="32" spans="2:10" ht="16.5" thickBot="1" x14ac:dyDescent="0.3">
      <c r="B32" s="27" t="str">
        <f t="shared" si="0"/>
        <v>ALDJUSL'EF</v>
      </c>
      <c r="C32" s="23" t="s">
        <v>160</v>
      </c>
      <c r="F32" s="23" t="s">
        <v>155</v>
      </c>
      <c r="G32" s="51" t="s">
        <v>156</v>
      </c>
      <c r="H32" s="31">
        <v>19</v>
      </c>
      <c r="I32" s="66">
        <f>COUNTIFS(produits,B32)</f>
        <v>0</v>
      </c>
      <c r="J32" s="93">
        <f t="shared" si="1"/>
        <v>0</v>
      </c>
    </row>
    <row r="33" spans="2:10" ht="16.5" thickBot="1" x14ac:dyDescent="0.3">
      <c r="B33" s="27" t="str">
        <f t="shared" si="0"/>
        <v>ALDJUSPROM</v>
      </c>
      <c r="C33" s="24" t="s">
        <v>161</v>
      </c>
      <c r="D33" s="34"/>
      <c r="E33" s="34"/>
      <c r="F33" s="24" t="s">
        <v>155</v>
      </c>
      <c r="G33" s="52" t="s">
        <v>156</v>
      </c>
      <c r="H33" s="32">
        <v>20</v>
      </c>
      <c r="I33" s="66">
        <f>COUNTIFS(produits,B33)</f>
        <v>0</v>
      </c>
      <c r="J33" s="93">
        <f t="shared" si="1"/>
        <v>0</v>
      </c>
    </row>
    <row r="34" spans="2:10" x14ac:dyDescent="0.25">
      <c r="J34" s="67"/>
    </row>
  </sheetData>
  <sortState xmlns:xlrd2="http://schemas.microsoft.com/office/spreadsheetml/2017/richdata2" ref="C14:E16">
    <sortCondition ref="E14:E16"/>
  </sortState>
  <mergeCells count="8">
    <mergeCell ref="D2:F2"/>
    <mergeCell ref="D3:F3"/>
    <mergeCell ref="F5:G5"/>
    <mergeCell ref="B5:B6"/>
    <mergeCell ref="H5:H6"/>
    <mergeCell ref="C5:E5"/>
    <mergeCell ref="I5:I6"/>
    <mergeCell ref="J5:J6"/>
  </mergeCells>
  <conditionalFormatting sqref="C7:C12 E7:F12 C13:F23 C24:D24 D25:D26">
    <cfRule type="cellIs" dxfId="6" priority="8" operator="equal">
      <formula>"O"</formula>
    </cfRule>
  </conditionalFormatting>
  <conditionalFormatting sqref="C25:C33">
    <cfRule type="cellIs" dxfId="5" priority="3" operator="equal">
      <formula>"O"</formula>
    </cfRule>
  </conditionalFormatting>
  <conditionalFormatting sqref="D27:E27">
    <cfRule type="cellIs" dxfId="4" priority="7" operator="equal">
      <formula>"O"</formula>
    </cfRule>
  </conditionalFormatting>
  <conditionalFormatting sqref="E24:E26">
    <cfRule type="cellIs" dxfId="3" priority="6" operator="equal">
      <formula>"O"</formula>
    </cfRule>
  </conditionalFormatting>
  <conditionalFormatting sqref="F24:F33">
    <cfRule type="cellIs" dxfId="2" priority="1" operator="equal">
      <formula>"O"</formula>
    </cfRule>
  </conditionalFormatting>
  <conditionalFormatting sqref="G28:G33">
    <cfRule type="cellIs" dxfId="1" priority="2" operator="equal">
      <formula>"O"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7" orientation="landscape" r:id="rId1"/>
  <headerFooter>
    <oddHeader>&amp;C&amp;"+,Gras italique"&amp;16Catalogue des produits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O44"/>
  <sheetViews>
    <sheetView zoomScale="70" zoomScaleNormal="70" zoomScalePageLayoutView="50" workbookViewId="0">
      <selection activeCell="A2" sqref="A2:I45"/>
    </sheetView>
  </sheetViews>
  <sheetFormatPr baseColWidth="10" defaultRowHeight="15" x14ac:dyDescent="0.25"/>
  <cols>
    <col min="2" max="2" width="32.7109375" bestFit="1" customWidth="1"/>
    <col min="3" max="3" width="28.7109375" customWidth="1"/>
    <col min="4" max="4" width="25.7109375" style="6" customWidth="1"/>
    <col min="5" max="7" width="22.7109375" style="6" customWidth="1"/>
    <col min="8" max="8" width="22.7109375" customWidth="1"/>
    <col min="9" max="9" width="29.7109375" customWidth="1"/>
    <col min="11" max="11" width="28.7109375" bestFit="1" customWidth="1"/>
    <col min="12" max="12" width="27.28515625" customWidth="1"/>
    <col min="13" max="13" width="28.85546875" customWidth="1"/>
    <col min="14" max="14" width="18.5703125" customWidth="1"/>
    <col min="15" max="15" width="19.140625" customWidth="1"/>
    <col min="16" max="17" width="21.140625" bestFit="1" customWidth="1"/>
    <col min="18" max="18" width="20.7109375" bestFit="1" customWidth="1"/>
    <col min="19" max="19" width="21.140625" bestFit="1" customWidth="1"/>
    <col min="20" max="20" width="21.42578125" bestFit="1" customWidth="1"/>
    <col min="21" max="22" width="20.5703125" bestFit="1" customWidth="1"/>
    <col min="23" max="24" width="21.42578125" bestFit="1" customWidth="1"/>
    <col min="25" max="25" width="21" bestFit="1" customWidth="1"/>
    <col min="26" max="26" width="20.28515625" bestFit="1" customWidth="1"/>
    <col min="27" max="27" width="20.5703125" bestFit="1" customWidth="1"/>
    <col min="28" max="28" width="21.42578125" bestFit="1" customWidth="1"/>
    <col min="29" max="29" width="16.42578125" bestFit="1" customWidth="1"/>
  </cols>
  <sheetData>
    <row r="1" spans="2:12" ht="15.75" thickBot="1" x14ac:dyDescent="0.3"/>
    <row r="2" spans="2:12" ht="15" customHeight="1" x14ac:dyDescent="0.25">
      <c r="B2" s="35"/>
      <c r="C2" s="35"/>
      <c r="D2" s="84" t="s">
        <v>149</v>
      </c>
      <c r="E2" s="85"/>
      <c r="F2" s="86"/>
      <c r="G2" s="7"/>
      <c r="H2" s="35"/>
      <c r="I2" s="35"/>
    </row>
    <row r="3" spans="2:12" ht="15" customHeight="1" thickBot="1" x14ac:dyDescent="0.3">
      <c r="B3" s="35"/>
      <c r="C3" s="35"/>
      <c r="D3" s="87" t="s">
        <v>150</v>
      </c>
      <c r="E3" s="88"/>
      <c r="F3" s="89"/>
      <c r="G3" s="7"/>
      <c r="H3" s="35"/>
      <c r="I3" s="35"/>
    </row>
    <row r="4" spans="2:12" ht="15.75" thickBot="1" x14ac:dyDescent="0.3">
      <c r="B4" s="35"/>
      <c r="C4" s="35"/>
      <c r="D4" s="7"/>
      <c r="E4" s="7"/>
      <c r="F4" s="7"/>
      <c r="G4" s="7"/>
      <c r="H4" s="35"/>
      <c r="I4" s="35"/>
    </row>
    <row r="5" spans="2:12" ht="39.950000000000003" customHeight="1" thickBot="1" x14ac:dyDescent="0.3">
      <c r="B5" s="41" t="s">
        <v>134</v>
      </c>
      <c r="C5" s="41" t="s">
        <v>136</v>
      </c>
      <c r="D5" s="41" t="s">
        <v>71</v>
      </c>
      <c r="E5" s="42" t="s">
        <v>172</v>
      </c>
      <c r="F5" s="42" t="s">
        <v>135</v>
      </c>
      <c r="G5" s="42" t="s">
        <v>173</v>
      </c>
      <c r="H5" s="43" t="s">
        <v>72</v>
      </c>
      <c r="I5" s="41" t="s">
        <v>139</v>
      </c>
    </row>
    <row r="6" spans="2:12" ht="20.100000000000001" customHeight="1" thickBot="1" x14ac:dyDescent="0.3">
      <c r="B6" s="58" t="str">
        <f>IF(OR(C6="",D6=""),"",CONCATENATE(YEAR(C6), RIGHT("0"&amp;MONTH(C6),2), RIGHT("0"&amp;DAY(C6),2), D6))</f>
        <v>20210107CAIMICRENFRA</v>
      </c>
      <c r="C6" s="44">
        <v>44203</v>
      </c>
      <c r="D6" s="58" t="s">
        <v>152</v>
      </c>
      <c r="E6" s="58" t="str">
        <f>CONCATENATE(VLOOKUP(D6,'Liste des clients'!$B$6:$E$21,3,0)," ",VLOOKUP(D6,'Liste des clients'!$B$6:$E$21,4,0))</f>
        <v>CAINE Mickaël</v>
      </c>
      <c r="F6" s="63" t="s">
        <v>162</v>
      </c>
      <c r="G6" s="92" t="str">
        <f>IFERROR(VLOOKUP('Liste des produits vendus '!F6,Ouvrage,2,FALSE)&amp;" "&amp;RIGHT(VLOOKUP('Liste des produits vendus '!F6,Ouvrage,4,FALSE),1),"")</f>
        <v xml:space="preserve">Miséricorde </v>
      </c>
      <c r="H6" s="58">
        <f t="shared" ref="H6:H40" si="0">IFERROR(VLOOKUP(F6,Ouvrage,7,FALSE),"")</f>
        <v>16.5</v>
      </c>
      <c r="I6" s="56">
        <f t="shared" ref="I6:I40" si="1">IF(OR(B6=B7,H6=""),"",SUMIFS(Montant,Commande,B6))</f>
        <v>16.5</v>
      </c>
    </row>
    <row r="7" spans="2:12" ht="20.100000000000001" customHeight="1" thickBot="1" x14ac:dyDescent="0.3">
      <c r="B7" s="58" t="str">
        <f t="shared" ref="B7:B40" si="2">IF(OR(C7="",D7=""),"",CONCATENATE(YEAR(C7), RIGHT("0"&amp;MONTH(C7),2), RIGHT("0"&amp;DAY(C7),2), D7))</f>
        <v>20210107DESSOPRENFRA</v>
      </c>
      <c r="C7" s="45">
        <v>44203</v>
      </c>
      <c r="D7" s="59" t="s">
        <v>165</v>
      </c>
      <c r="E7" s="58" t="str">
        <f>CONCATENATE(VLOOKUP(D7,'Liste des clients'!$B$6:$E$21,3,0)," ",VLOOKUP(D7,'Liste des clients'!$B$6:$E$21,4,0))</f>
        <v>DESVENTS Sophie</v>
      </c>
      <c r="F7" s="64" t="s">
        <v>163</v>
      </c>
      <c r="G7" s="60" t="str">
        <f>IFERROR(VLOOKUP('Liste des produits vendus '!F7,Ouvrage,2,FALSE)&amp;" "&amp;RIGHT(VLOOKUP('Liste des produits vendus '!F7,Ouvrage,4,FALSE),1),"")</f>
        <v xml:space="preserve">Profanation </v>
      </c>
      <c r="H7" s="59">
        <f t="shared" si="0"/>
        <v>17</v>
      </c>
      <c r="I7" s="75" t="str">
        <f t="shared" si="1"/>
        <v/>
      </c>
      <c r="L7" s="19"/>
    </row>
    <row r="8" spans="2:12" ht="20.100000000000001" customHeight="1" thickBot="1" x14ac:dyDescent="0.3">
      <c r="B8" s="58" t="str">
        <f t="shared" si="2"/>
        <v>20210107DESSOPRENFRA</v>
      </c>
      <c r="C8" s="45">
        <v>44203</v>
      </c>
      <c r="D8" s="59" t="s">
        <v>165</v>
      </c>
      <c r="E8" s="58" t="str">
        <f>CONCATENATE(VLOOKUP(D8,'Liste des clients'!$B$6:$E$21,3,0)," ",VLOOKUP(D8,'Liste des clients'!$B$6:$E$21,4,0))</f>
        <v>DESVENTS Sophie</v>
      </c>
      <c r="F8" s="64" t="s">
        <v>164</v>
      </c>
      <c r="G8" s="60" t="str">
        <f>IFERROR(VLOOKUP('Liste des produits vendus '!F8,Ouvrage,2,FALSE)&amp;" "&amp;RIGHT(VLOOKUP('Liste des produits vendus '!F8,Ouvrage,4,FALSE),1),"")</f>
        <v xml:space="preserve">Délivrance </v>
      </c>
      <c r="H8" s="59">
        <f t="shared" si="0"/>
        <v>17.5</v>
      </c>
      <c r="I8" s="75">
        <f t="shared" si="1"/>
        <v>34.5</v>
      </c>
      <c r="L8" s="19"/>
    </row>
    <row r="9" spans="2:12" ht="20.100000000000001" customHeight="1" thickBot="1" x14ac:dyDescent="0.3">
      <c r="B9" s="58" t="str">
        <f t="shared" si="2"/>
        <v>20210115IZGBERLONGRA</v>
      </c>
      <c r="C9" s="45">
        <v>44211</v>
      </c>
      <c r="D9" s="59" t="s">
        <v>167</v>
      </c>
      <c r="E9" s="58" t="str">
        <f>CONCATENATE(VLOOKUP(D9,'Liste des clients'!$B$6:$E$21,3,0)," ",VLOOKUP(D9,'Liste des clients'!$B$6:$E$21,4,0))</f>
        <v>IZGOUD Bernadette</v>
      </c>
      <c r="F9" s="59" t="s">
        <v>113</v>
      </c>
      <c r="G9" s="21" t="str">
        <f>IFERROR(VLOOKUP('Liste des produits vendus '!F9,Ouvrage,2,FALSE)&amp;" "&amp;RIGHT(VLOOKUP('Liste des produits vendus '!F9,Ouvrage,4,FALSE),1),"")</f>
        <v>Games of Throne 1</v>
      </c>
      <c r="H9" s="59">
        <f t="shared" si="0"/>
        <v>19</v>
      </c>
      <c r="I9" s="75" t="str">
        <f t="shared" si="1"/>
        <v/>
      </c>
      <c r="L9" s="19"/>
    </row>
    <row r="10" spans="2:12" ht="20.100000000000001" customHeight="1" thickBot="1" x14ac:dyDescent="0.3">
      <c r="B10" s="58" t="str">
        <f t="shared" si="2"/>
        <v>20210115IZGBERLONGRA</v>
      </c>
      <c r="C10" s="45">
        <v>44211</v>
      </c>
      <c r="D10" s="59" t="s">
        <v>167</v>
      </c>
      <c r="E10" s="58" t="str">
        <f>CONCATENATE(VLOOKUP(D10,'Liste des clients'!$B$6:$E$21,3,0)," ",VLOOKUP(D10,'Liste des clients'!$B$6:$E$21,4,0))</f>
        <v>IZGOUD Bernadette</v>
      </c>
      <c r="F10" s="59" t="s">
        <v>114</v>
      </c>
      <c r="G10" s="21" t="str">
        <f>IFERROR(VLOOKUP('Liste des produits vendus '!F10,Ouvrage,2,FALSE)&amp;" "&amp;RIGHT(VLOOKUP('Liste des produits vendus '!F10,Ouvrage,4,FALSE),1),"")</f>
        <v>Games of Throne 2</v>
      </c>
      <c r="H10" s="59">
        <f t="shared" si="0"/>
        <v>19.5</v>
      </c>
      <c r="I10" s="75">
        <f t="shared" si="1"/>
        <v>38.5</v>
      </c>
      <c r="L10" s="19"/>
    </row>
    <row r="11" spans="2:12" ht="20.100000000000001" customHeight="1" thickBot="1" x14ac:dyDescent="0.3">
      <c r="B11" s="58" t="str">
        <f t="shared" si="2"/>
        <v>20210120WALEVANANFRA</v>
      </c>
      <c r="C11" s="45">
        <v>44216</v>
      </c>
      <c r="D11" s="59" t="s">
        <v>170</v>
      </c>
      <c r="E11" s="58" t="str">
        <f>CONCATENATE(VLOOKUP(D11,'Liste des clients'!$B$6:$E$21,3,0)," ",VLOOKUP(D11,'Liste des clients'!$B$6:$E$21,4,0))</f>
        <v>WALKEN Eva</v>
      </c>
      <c r="F11" s="59" t="s">
        <v>120</v>
      </c>
      <c r="G11" s="21" t="str">
        <f>IFERROR(VLOOKUP('Liste des produits vendus '!F11,Ouvrage,2,FALSE)&amp;" "&amp;RIGHT(VLOOKUP('Liste des produits vendus '!F11,Ouvrage,4,FALSE),1),"")</f>
        <v>Rouge Rubis 1</v>
      </c>
      <c r="H11" s="59">
        <f t="shared" si="0"/>
        <v>13.5</v>
      </c>
      <c r="I11" s="75" t="str">
        <f t="shared" si="1"/>
        <v/>
      </c>
      <c r="L11" s="19"/>
    </row>
    <row r="12" spans="2:12" ht="20.100000000000001" customHeight="1" thickBot="1" x14ac:dyDescent="0.3">
      <c r="B12" s="58" t="str">
        <f t="shared" si="2"/>
        <v>20210120WALEVANANFRA</v>
      </c>
      <c r="C12" s="45">
        <v>44216</v>
      </c>
      <c r="D12" s="59" t="s">
        <v>170</v>
      </c>
      <c r="E12" s="58" t="str">
        <f>CONCATENATE(VLOOKUP(D12,'Liste des clients'!$B$6:$E$21,3,0)," ",VLOOKUP(D12,'Liste des clients'!$B$6:$E$21,4,0))</f>
        <v>WALKEN Eva</v>
      </c>
      <c r="F12" s="59" t="s">
        <v>130</v>
      </c>
      <c r="G12" s="21" t="str">
        <f>IFERROR(VLOOKUP('Liste des produits vendus '!F12,Ouvrage,2,FALSE)&amp;" "&amp;RIGHT(VLOOKUP('Liste des produits vendus '!F12,Ouvrage,4,FALSE),1),"")</f>
        <v>Bleu Saphir  2</v>
      </c>
      <c r="H12" s="59">
        <f t="shared" si="0"/>
        <v>13</v>
      </c>
      <c r="I12" s="75" t="str">
        <f t="shared" si="1"/>
        <v/>
      </c>
      <c r="L12" s="19"/>
    </row>
    <row r="13" spans="2:12" ht="20.100000000000001" customHeight="1" thickBot="1" x14ac:dyDescent="0.3">
      <c r="B13" s="58" t="str">
        <f t="shared" si="2"/>
        <v>20210120WALEVANANFRA</v>
      </c>
      <c r="C13" s="45">
        <v>44216</v>
      </c>
      <c r="D13" s="59" t="s">
        <v>170</v>
      </c>
      <c r="E13" s="58" t="str">
        <f>CONCATENATE(VLOOKUP(D13,'Liste des clients'!$B$6:$E$21,3,0)," ",VLOOKUP(D13,'Liste des clients'!$B$6:$E$21,4,0))</f>
        <v>WALKEN Eva</v>
      </c>
      <c r="F13" s="59" t="s">
        <v>129</v>
      </c>
      <c r="G13" s="21" t="str">
        <f>IFERROR(VLOOKUP('Liste des produits vendus '!F13,Ouvrage,2,FALSE)&amp;" "&amp;RIGHT(VLOOKUP('Liste des produits vendus '!F13,Ouvrage,4,FALSE),1),"")</f>
        <v>Vert Emeraude  3</v>
      </c>
      <c r="H13" s="59">
        <f t="shared" si="0"/>
        <v>13</v>
      </c>
      <c r="I13" s="75">
        <f t="shared" si="1"/>
        <v>39.5</v>
      </c>
      <c r="L13" s="19"/>
    </row>
    <row r="14" spans="2:12" ht="20.100000000000001" customHeight="1" thickBot="1" x14ac:dyDescent="0.3">
      <c r="B14" s="58" t="str">
        <f t="shared" si="2"/>
        <v>20210122LAPMAXNANFRA</v>
      </c>
      <c r="C14" s="45">
        <v>44218</v>
      </c>
      <c r="D14" s="59" t="s">
        <v>147</v>
      </c>
      <c r="E14" s="58" t="str">
        <f>CONCATENATE(VLOOKUP(D14,'Liste des clients'!$B$6:$E$21,3,0)," ",VLOOKUP(D14,'Liste des clients'!$B$6:$E$21,4,0))</f>
        <v>LAPORTE Maxime</v>
      </c>
      <c r="F14" s="59" t="s">
        <v>162</v>
      </c>
      <c r="G14" s="21" t="str">
        <f>IFERROR(VLOOKUP('Liste des produits vendus '!F14,Ouvrage,2,FALSE)&amp;" "&amp;RIGHT(VLOOKUP('Liste des produits vendus '!F14,Ouvrage,4,FALSE),1),"")</f>
        <v xml:space="preserve">Miséricorde </v>
      </c>
      <c r="H14" s="59">
        <f t="shared" si="0"/>
        <v>16.5</v>
      </c>
      <c r="I14" s="75" t="str">
        <f t="shared" si="1"/>
        <v/>
      </c>
      <c r="L14" s="19"/>
    </row>
    <row r="15" spans="2:12" ht="20.100000000000001" customHeight="1" thickBot="1" x14ac:dyDescent="0.3">
      <c r="B15" s="58" t="str">
        <f t="shared" si="2"/>
        <v>20210122LAPMAXNANFRA</v>
      </c>
      <c r="C15" s="45">
        <v>44218</v>
      </c>
      <c r="D15" s="59" t="s">
        <v>147</v>
      </c>
      <c r="E15" s="58" t="str">
        <f>CONCATENATE(VLOOKUP(D15,'Liste des clients'!$B$6:$E$21,3,0)," ",VLOOKUP(D15,'Liste des clients'!$B$6:$E$21,4,0))</f>
        <v>LAPORTE Maxime</v>
      </c>
      <c r="F15" s="59" t="s">
        <v>163</v>
      </c>
      <c r="G15" s="21" t="str">
        <f>IFERROR(VLOOKUP('Liste des produits vendus '!F15,Ouvrage,2,FALSE)&amp;" "&amp;RIGHT(VLOOKUP('Liste des produits vendus '!F15,Ouvrage,4,FALSE),1),"")</f>
        <v xml:space="preserve">Profanation </v>
      </c>
      <c r="H15" s="59">
        <f t="shared" si="0"/>
        <v>17</v>
      </c>
      <c r="I15" s="75">
        <f t="shared" si="1"/>
        <v>33.5</v>
      </c>
      <c r="L15" s="19"/>
    </row>
    <row r="16" spans="2:12" ht="20.100000000000001" customHeight="1" thickBot="1" x14ac:dyDescent="0.3">
      <c r="B16" s="58" t="str">
        <f t="shared" si="2"/>
        <v>20210125LEVMARANGFRA</v>
      </c>
      <c r="C16" s="45">
        <v>44221</v>
      </c>
      <c r="D16" s="59" t="s">
        <v>168</v>
      </c>
      <c r="E16" s="58" t="str">
        <f>CONCATENATE(VLOOKUP(D16,'Liste des clients'!$B$6:$E$21,3,0)," ",VLOOKUP(D16,'Liste des clients'!$B$6:$E$21,4,0))</f>
        <v>LEVASSEUR Marthe</v>
      </c>
      <c r="F16" s="59" t="s">
        <v>113</v>
      </c>
      <c r="G16" s="21" t="str">
        <f>IFERROR(VLOOKUP('Liste des produits vendus '!F16,Ouvrage,2,FALSE)&amp;" "&amp;RIGHT(VLOOKUP('Liste des produits vendus '!F16,Ouvrage,4,FALSE),1),"")</f>
        <v>Games of Throne 1</v>
      </c>
      <c r="H16" s="59">
        <f t="shared" si="0"/>
        <v>19</v>
      </c>
      <c r="I16" s="75">
        <f t="shared" si="1"/>
        <v>19</v>
      </c>
      <c r="L16" s="19"/>
    </row>
    <row r="17" spans="2:12" ht="20.100000000000001" customHeight="1" thickBot="1" x14ac:dyDescent="0.3">
      <c r="B17" s="58" t="str">
        <f t="shared" si="2"/>
        <v>20210125BINJULNICFRA</v>
      </c>
      <c r="C17" s="45">
        <v>44221</v>
      </c>
      <c r="D17" s="59" t="s">
        <v>151</v>
      </c>
      <c r="E17" s="58" t="str">
        <f>CONCATENATE(VLOOKUP(D17,'Liste des clients'!$B$6:$E$21,3,0)," ",VLOOKUP(D17,'Liste des clients'!$B$6:$E$21,4,0))</f>
        <v>BINOCHE Julien</v>
      </c>
      <c r="F17" s="59" t="s">
        <v>114</v>
      </c>
      <c r="G17" s="21" t="str">
        <f>IFERROR(VLOOKUP('Liste des produits vendus '!F17,Ouvrage,2,FALSE)&amp;" "&amp;RIGHT(VLOOKUP('Liste des produits vendus '!F17,Ouvrage,4,FALSE),1),"")</f>
        <v>Games of Throne 2</v>
      </c>
      <c r="H17" s="59">
        <f t="shared" si="0"/>
        <v>19.5</v>
      </c>
      <c r="I17" s="75" t="str">
        <f t="shared" si="1"/>
        <v/>
      </c>
      <c r="L17" s="19"/>
    </row>
    <row r="18" spans="2:12" ht="20.100000000000001" customHeight="1" thickBot="1" x14ac:dyDescent="0.3">
      <c r="B18" s="58" t="str">
        <f t="shared" si="2"/>
        <v>20210125BINJULNICFRA</v>
      </c>
      <c r="C18" s="45">
        <v>44221</v>
      </c>
      <c r="D18" s="59" t="s">
        <v>151</v>
      </c>
      <c r="E18" s="58" t="str">
        <f>CONCATENATE(VLOOKUP(D18,'Liste des clients'!$B$6:$E$21,3,0)," ",VLOOKUP(D18,'Liste des clients'!$B$6:$E$21,4,0))</f>
        <v>BINOCHE Julien</v>
      </c>
      <c r="F18" s="59" t="s">
        <v>115</v>
      </c>
      <c r="G18" s="21" t="str">
        <f>IFERROR(VLOOKUP('Liste des produits vendus '!F18,Ouvrage,2,FALSE)&amp;" "&amp;RIGHT(VLOOKUP('Liste des produits vendus '!F18,Ouvrage,4,FALSE),1),"")</f>
        <v>Games of Throne 3</v>
      </c>
      <c r="H18" s="59">
        <f t="shared" si="0"/>
        <v>19.5</v>
      </c>
      <c r="I18" s="75">
        <f t="shared" si="1"/>
        <v>39</v>
      </c>
      <c r="L18" s="19"/>
    </row>
    <row r="19" spans="2:12" ht="20.100000000000001" customHeight="1" thickBot="1" x14ac:dyDescent="0.3">
      <c r="B19" s="58" t="str">
        <f t="shared" si="2"/>
        <v>20210130CURARTLYOFRA</v>
      </c>
      <c r="C19" s="45">
        <v>44226</v>
      </c>
      <c r="D19" s="59" t="s">
        <v>148</v>
      </c>
      <c r="E19" s="58" t="str">
        <f>CONCATENATE(VLOOKUP(D19,'Liste des clients'!$B$6:$E$21,3,0)," ",VLOOKUP(D19,'Liste des clients'!$B$6:$E$21,4,0))</f>
        <v>CURT Arthur</v>
      </c>
      <c r="F19" s="59" t="s">
        <v>123</v>
      </c>
      <c r="G19" s="21" t="str">
        <f>IFERROR(VLOOKUP('Liste des produits vendus '!F19,Ouvrage,2,FALSE)&amp;" "&amp;RIGHT(VLOOKUP('Liste des produits vendus '!F19,Ouvrage,4,FALSE),1),"")</f>
        <v>Eragon 1</v>
      </c>
      <c r="H19" s="59">
        <f t="shared" si="0"/>
        <v>12</v>
      </c>
      <c r="I19" s="75" t="str">
        <f t="shared" si="1"/>
        <v/>
      </c>
      <c r="L19" s="19"/>
    </row>
    <row r="20" spans="2:12" ht="20.100000000000001" customHeight="1" thickBot="1" x14ac:dyDescent="0.3">
      <c r="B20" s="58" t="str">
        <f t="shared" si="2"/>
        <v>20210130CURARTLYOFRA</v>
      </c>
      <c r="C20" s="45">
        <v>44226</v>
      </c>
      <c r="D20" s="59" t="s">
        <v>148</v>
      </c>
      <c r="E20" s="58" t="str">
        <f>CONCATENATE(VLOOKUP(D20,'Liste des clients'!$B$6:$E$21,3,0)," ",VLOOKUP(D20,'Liste des clients'!$B$6:$E$21,4,0))</f>
        <v>CURT Arthur</v>
      </c>
      <c r="F20" s="59" t="s">
        <v>124</v>
      </c>
      <c r="G20" s="21" t="str">
        <f>IFERROR(VLOOKUP('Liste des produits vendus '!F20,Ouvrage,2,FALSE)&amp;" "&amp;RIGHT(VLOOKUP('Liste des produits vendus '!F20,Ouvrage,4,FALSE),1),"")</f>
        <v>Eragon 2</v>
      </c>
      <c r="H20" s="59">
        <f t="shared" si="0"/>
        <v>12.5</v>
      </c>
      <c r="I20" s="75">
        <f t="shared" si="1"/>
        <v>24.5</v>
      </c>
      <c r="L20" s="19"/>
    </row>
    <row r="21" spans="2:12" ht="20.100000000000001" customHeight="1" thickBot="1" x14ac:dyDescent="0.3">
      <c r="B21" s="58" t="str">
        <f t="shared" si="2"/>
        <v>20210201IRVAMYNANFRA</v>
      </c>
      <c r="C21" s="45">
        <v>44228</v>
      </c>
      <c r="D21" s="59" t="s">
        <v>141</v>
      </c>
      <c r="E21" s="58" t="str">
        <f>CONCATENATE(VLOOKUP(D21,'Liste des clients'!$B$6:$E$21,3,0)," ",VLOOKUP(D21,'Liste des clients'!$B$6:$E$21,4,0))</f>
        <v>IRVING Amy</v>
      </c>
      <c r="F21" s="59" t="s">
        <v>121</v>
      </c>
      <c r="G21" s="21" t="str">
        <f>IFERROR(VLOOKUP('Liste des produits vendus '!F21,Ouvrage,2,FALSE)&amp;" "&amp;RIGHT(VLOOKUP('Liste des produits vendus '!F21,Ouvrage,4,FALSE),1),"")</f>
        <v>Hunger Games 1</v>
      </c>
      <c r="H21" s="59">
        <f t="shared" si="0"/>
        <v>17</v>
      </c>
      <c r="I21" s="75" t="str">
        <f t="shared" si="1"/>
        <v/>
      </c>
      <c r="L21" s="19"/>
    </row>
    <row r="22" spans="2:12" ht="20.100000000000001" customHeight="1" thickBot="1" x14ac:dyDescent="0.3">
      <c r="B22" s="58" t="str">
        <f t="shared" si="2"/>
        <v>20210201IRVAMYNANFRA</v>
      </c>
      <c r="C22" s="45">
        <v>44228</v>
      </c>
      <c r="D22" s="59" t="s">
        <v>141</v>
      </c>
      <c r="E22" s="58" t="str">
        <f>CONCATENATE(VLOOKUP(D22,'Liste des clients'!$B$6:$E$21,3,0)," ",VLOOKUP(D22,'Liste des clients'!$B$6:$E$21,4,0))</f>
        <v>IRVING Amy</v>
      </c>
      <c r="F22" s="59" t="s">
        <v>122</v>
      </c>
      <c r="G22" s="21" t="str">
        <f>IFERROR(VLOOKUP('Liste des produits vendus '!F22,Ouvrage,2,FALSE)&amp;" "&amp;RIGHT(VLOOKUP('Liste des produits vendus '!F22,Ouvrage,4,FALSE),1),"")</f>
        <v>Hunger Games 2</v>
      </c>
      <c r="H22" s="59">
        <f t="shared" si="0"/>
        <v>17</v>
      </c>
      <c r="I22" s="75">
        <f t="shared" si="1"/>
        <v>34</v>
      </c>
      <c r="L22" s="19"/>
    </row>
    <row r="23" spans="2:12" ht="20.100000000000001" customHeight="1" thickBot="1" x14ac:dyDescent="0.3">
      <c r="B23" s="58" t="str">
        <f t="shared" si="2"/>
        <v>20210206DUBJEANANFRA</v>
      </c>
      <c r="C23" s="45">
        <v>44233</v>
      </c>
      <c r="D23" s="59" t="s">
        <v>166</v>
      </c>
      <c r="E23" s="58" t="str">
        <f>CONCATENATE(VLOOKUP(D23,'Liste des clients'!$B$6:$E$21,3,0)," ",VLOOKUP(D23,'Liste des clients'!$B$6:$E$21,4,0))</f>
        <v>DUBOIS Jean</v>
      </c>
      <c r="F23" s="59" t="s">
        <v>121</v>
      </c>
      <c r="G23" s="21" t="str">
        <f>IFERROR(VLOOKUP('Liste des produits vendus '!F23,Ouvrage,2,FALSE)&amp;" "&amp;RIGHT(VLOOKUP('Liste des produits vendus '!F23,Ouvrage,4,FALSE),1),"")</f>
        <v>Hunger Games 1</v>
      </c>
      <c r="H23" s="59">
        <f t="shared" si="0"/>
        <v>17</v>
      </c>
      <c r="I23" s="75" t="str">
        <f t="shared" si="1"/>
        <v/>
      </c>
      <c r="L23" s="19"/>
    </row>
    <row r="24" spans="2:12" ht="20.100000000000001" customHeight="1" thickBot="1" x14ac:dyDescent="0.3">
      <c r="B24" s="58" t="str">
        <f t="shared" si="2"/>
        <v>20210206DUBJEANANFRA</v>
      </c>
      <c r="C24" s="45">
        <v>44233</v>
      </c>
      <c r="D24" s="59" t="s">
        <v>166</v>
      </c>
      <c r="E24" s="58" t="str">
        <f>CONCATENATE(VLOOKUP(D24,'Liste des clients'!$B$6:$E$21,3,0)," ",VLOOKUP(D24,'Liste des clients'!$B$6:$E$21,4,0))</f>
        <v>DUBOIS Jean</v>
      </c>
      <c r="F24" s="59" t="s">
        <v>133</v>
      </c>
      <c r="G24" s="21" t="str">
        <f>IFERROR(VLOOKUP('Liste des produits vendus '!F24,Ouvrage,2,FALSE)&amp;" "&amp;RIGHT(VLOOKUP('Liste des produits vendus '!F24,Ouvrage,4,FALSE),1),"")</f>
        <v>Labyrinthe 1</v>
      </c>
      <c r="H24" s="59">
        <f t="shared" si="0"/>
        <v>15.5</v>
      </c>
      <c r="I24" s="75">
        <f t="shared" si="1"/>
        <v>32.5</v>
      </c>
      <c r="L24" s="19"/>
    </row>
    <row r="25" spans="2:12" ht="20.100000000000001" customHeight="1" thickBot="1" x14ac:dyDescent="0.3">
      <c r="B25" s="58" t="str">
        <f t="shared" si="2"/>
        <v>20210206WALEVANANFRA</v>
      </c>
      <c r="C25" s="45">
        <v>44233</v>
      </c>
      <c r="D25" s="59" t="s">
        <v>170</v>
      </c>
      <c r="E25" s="58" t="str">
        <f>CONCATENATE(VLOOKUP(D25,'Liste des clients'!$B$6:$E$21,3,0)," ",VLOOKUP(D25,'Liste des clients'!$B$6:$E$21,4,0))</f>
        <v>WALKEN Eva</v>
      </c>
      <c r="F25" s="59" t="s">
        <v>133</v>
      </c>
      <c r="G25" s="21" t="str">
        <f>IFERROR(VLOOKUP('Liste des produits vendus '!F25,Ouvrage,2,FALSE)&amp;" "&amp;RIGHT(VLOOKUP('Liste des produits vendus '!F25,Ouvrage,4,FALSE),1),"")</f>
        <v>Labyrinthe 1</v>
      </c>
      <c r="H25" s="59">
        <f t="shared" si="0"/>
        <v>15.5</v>
      </c>
      <c r="I25" s="75">
        <f t="shared" si="1"/>
        <v>15.5</v>
      </c>
      <c r="L25" s="19"/>
    </row>
    <row r="26" spans="2:12" ht="20.100000000000001" customHeight="1" thickBot="1" x14ac:dyDescent="0.3">
      <c r="B26" s="58" t="str">
        <f t="shared" si="2"/>
        <v>20210206BEUODEBRUBEL</v>
      </c>
      <c r="C26" s="45">
        <v>44233</v>
      </c>
      <c r="D26" s="59" t="s">
        <v>137</v>
      </c>
      <c r="E26" s="58" t="str">
        <f>CONCATENATE(VLOOKUP(D26,'Liste des clients'!$B$6:$E$21,3,0)," ",VLOOKUP(D26,'Liste des clients'!$B$6:$E$21,4,0))</f>
        <v>BEUKELAERE Odette</v>
      </c>
      <c r="F26" s="59" t="s">
        <v>113</v>
      </c>
      <c r="G26" s="21" t="str">
        <f>IFERROR(VLOOKUP('Liste des produits vendus '!F26,Ouvrage,2,FALSE)&amp;" "&amp;RIGHT(VLOOKUP('Liste des produits vendus '!F26,Ouvrage,4,FALSE),1),"")</f>
        <v>Games of Throne 1</v>
      </c>
      <c r="H26" s="59">
        <f t="shared" si="0"/>
        <v>19</v>
      </c>
      <c r="I26" s="75" t="str">
        <f t="shared" si="1"/>
        <v/>
      </c>
      <c r="L26" s="19"/>
    </row>
    <row r="27" spans="2:12" ht="20.100000000000001" customHeight="1" thickBot="1" x14ac:dyDescent="0.3">
      <c r="B27" s="58" t="str">
        <f t="shared" si="2"/>
        <v>20210206BEUODEBRUBEL</v>
      </c>
      <c r="C27" s="45">
        <v>44233</v>
      </c>
      <c r="D27" s="59" t="s">
        <v>137</v>
      </c>
      <c r="E27" s="58" t="str">
        <f>CONCATENATE(VLOOKUP(D27,'Liste des clients'!$B$6:$E$21,3,0)," ",VLOOKUP(D27,'Liste des clients'!$B$6:$E$21,4,0))</f>
        <v>BEUKELAERE Odette</v>
      </c>
      <c r="F27" s="59" t="s">
        <v>123</v>
      </c>
      <c r="G27" s="21" t="str">
        <f>IFERROR(VLOOKUP('Liste des produits vendus '!F27,Ouvrage,2,FALSE)&amp;" "&amp;RIGHT(VLOOKUP('Liste des produits vendus '!F27,Ouvrage,4,FALSE),1),"")</f>
        <v>Eragon 1</v>
      </c>
      <c r="H27" s="59">
        <f t="shared" si="0"/>
        <v>12</v>
      </c>
      <c r="I27" s="75">
        <f t="shared" si="1"/>
        <v>31</v>
      </c>
      <c r="L27" s="19"/>
    </row>
    <row r="28" spans="2:12" ht="20.100000000000001" customHeight="1" thickBot="1" x14ac:dyDescent="0.3">
      <c r="B28" s="58" t="str">
        <f t="shared" si="2"/>
        <v>20210208HOLSHENANFRA</v>
      </c>
      <c r="C28" s="45">
        <v>44235</v>
      </c>
      <c r="D28" s="59" t="s">
        <v>140</v>
      </c>
      <c r="E28" s="58" t="str">
        <f>CONCATENATE(VLOOKUP(D28,'Liste des clients'!$B$6:$E$21,3,0)," ",VLOOKUP(D28,'Liste des clients'!$B$6:$E$21,4,0))</f>
        <v>HOLMES Sherlock</v>
      </c>
      <c r="F28" s="64" t="s">
        <v>133</v>
      </c>
      <c r="G28" s="60" t="str">
        <f>IFERROR(VLOOKUP('Liste des produits vendus '!F28,Ouvrage,2,FALSE)&amp;" "&amp;RIGHT(VLOOKUP('Liste des produits vendus '!F28,Ouvrage,4,FALSE),1),"")</f>
        <v>Labyrinthe 1</v>
      </c>
      <c r="H28" s="59">
        <f t="shared" si="0"/>
        <v>15.5</v>
      </c>
      <c r="I28" s="75" t="str">
        <f t="shared" si="1"/>
        <v/>
      </c>
      <c r="L28" s="19"/>
    </row>
    <row r="29" spans="2:12" ht="20.100000000000001" customHeight="1" thickBot="1" x14ac:dyDescent="0.3">
      <c r="B29" s="58" t="str">
        <f t="shared" si="2"/>
        <v>20210208HOLSHENANFRA</v>
      </c>
      <c r="C29" s="45">
        <v>44235</v>
      </c>
      <c r="D29" s="59" t="s">
        <v>140</v>
      </c>
      <c r="E29" s="58" t="str">
        <f>CONCATENATE(VLOOKUP(D29,'Liste des clients'!$B$6:$E$21,3,0)," ",VLOOKUP(D29,'Liste des clients'!$B$6:$E$21,4,0))</f>
        <v>HOLMES Sherlock</v>
      </c>
      <c r="F29" s="64" t="s">
        <v>130</v>
      </c>
      <c r="G29" s="60" t="str">
        <f>IFERROR(VLOOKUP('Liste des produits vendus '!F29,Ouvrage,2,FALSE)&amp;" "&amp;RIGHT(VLOOKUP('Liste des produits vendus '!F29,Ouvrage,4,FALSE),1),"")</f>
        <v>Bleu Saphir  2</v>
      </c>
      <c r="H29" s="59">
        <f t="shared" si="0"/>
        <v>13</v>
      </c>
      <c r="I29" s="75" t="str">
        <f t="shared" si="1"/>
        <v/>
      </c>
      <c r="L29" s="19"/>
    </row>
    <row r="30" spans="2:12" ht="20.100000000000001" customHeight="1" thickBot="1" x14ac:dyDescent="0.3">
      <c r="B30" s="58" t="str">
        <f t="shared" si="2"/>
        <v>20210208HOLSHENANFRA</v>
      </c>
      <c r="C30" s="45">
        <v>44235</v>
      </c>
      <c r="D30" s="59" t="s">
        <v>140</v>
      </c>
      <c r="E30" s="58" t="str">
        <f>CONCATENATE(VLOOKUP(D30,'Liste des clients'!$B$6:$E$21,3,0)," ",VLOOKUP(D30,'Liste des clients'!$B$6:$E$21,4,0))</f>
        <v>HOLMES Sherlock</v>
      </c>
      <c r="F30" s="64" t="s">
        <v>117</v>
      </c>
      <c r="G30" s="60" t="str">
        <f>IFERROR(VLOOKUP('Liste des produits vendus '!F30,Ouvrage,2,FALSE)&amp;" "&amp;RIGHT(VLOOKUP('Liste des produits vendus '!F30,Ouvrage,4,FALSE),1),"")</f>
        <v>Divergente 1</v>
      </c>
      <c r="H30" s="59">
        <f t="shared" si="0"/>
        <v>14.5</v>
      </c>
      <c r="I30" s="75">
        <f t="shared" si="1"/>
        <v>43</v>
      </c>
      <c r="L30" s="19"/>
    </row>
    <row r="31" spans="2:12" ht="20.100000000000001" customHeight="1" thickBot="1" x14ac:dyDescent="0.3">
      <c r="B31" s="58" t="str">
        <f t="shared" si="2"/>
        <v>20210210HOLSHENANFRA</v>
      </c>
      <c r="C31" s="45">
        <v>44237</v>
      </c>
      <c r="D31" s="59" t="s">
        <v>140</v>
      </c>
      <c r="E31" s="58" t="str">
        <f>CONCATENATE(VLOOKUP(D31,'Liste des clients'!$B$6:$E$21,3,0)," ",VLOOKUP(D31,'Liste des clients'!$B$6:$E$21,4,0))</f>
        <v>HOLMES Sherlock</v>
      </c>
      <c r="F31" s="59" t="s">
        <v>117</v>
      </c>
      <c r="G31" s="21" t="str">
        <f>IFERROR(VLOOKUP('Liste des produits vendus '!F31,Ouvrage,2,FALSE)&amp;" "&amp;RIGHT(VLOOKUP('Liste des produits vendus '!F31,Ouvrage,4,FALSE),1),"")</f>
        <v>Divergente 1</v>
      </c>
      <c r="H31" s="59">
        <f t="shared" si="0"/>
        <v>14.5</v>
      </c>
      <c r="I31" s="75">
        <f t="shared" si="1"/>
        <v>14.5</v>
      </c>
    </row>
    <row r="32" spans="2:12" ht="20.100000000000001" customHeight="1" thickBot="1" x14ac:dyDescent="0.3">
      <c r="B32" s="58" t="str">
        <f t="shared" si="2"/>
        <v>20210210IRVAMYNANFRA</v>
      </c>
      <c r="C32" s="45">
        <v>44237</v>
      </c>
      <c r="D32" s="59" t="s">
        <v>141</v>
      </c>
      <c r="E32" s="58" t="str">
        <f>CONCATENATE(VLOOKUP(D32,'Liste des clients'!$B$6:$E$21,3,0)," ",VLOOKUP(D32,'Liste des clients'!$B$6:$E$21,4,0))</f>
        <v>IRVING Amy</v>
      </c>
      <c r="F32" s="59" t="s">
        <v>118</v>
      </c>
      <c r="G32" s="21" t="str">
        <f>IFERROR(VLOOKUP('Liste des produits vendus '!F32,Ouvrage,2,FALSE)&amp;" "&amp;RIGHT(VLOOKUP('Liste des produits vendus '!F32,Ouvrage,4,FALSE),1),"")</f>
        <v>Divergente 2</v>
      </c>
      <c r="H32" s="59">
        <f t="shared" si="0"/>
        <v>14.5</v>
      </c>
      <c r="I32" s="75" t="str">
        <f t="shared" si="1"/>
        <v/>
      </c>
    </row>
    <row r="33" spans="2:15" ht="20.100000000000001" customHeight="1" thickBot="1" x14ac:dyDescent="0.3">
      <c r="B33" s="58" t="str">
        <f t="shared" si="2"/>
        <v>20210210IRVAMYNANFRA</v>
      </c>
      <c r="C33" s="45">
        <v>44237</v>
      </c>
      <c r="D33" s="59" t="s">
        <v>141</v>
      </c>
      <c r="E33" s="58" t="str">
        <f>CONCATENATE(VLOOKUP(D33,'Liste des clients'!$B$6:$E$21,3,0)," ",VLOOKUP(D33,'Liste des clients'!$B$6:$E$21,4,0))</f>
        <v>IRVING Amy</v>
      </c>
      <c r="F33" s="59" t="s">
        <v>119</v>
      </c>
      <c r="G33" s="21" t="str">
        <f>IFERROR(VLOOKUP('Liste des produits vendus '!F33,Ouvrage,2,FALSE)&amp;" "&amp;RIGHT(VLOOKUP('Liste des produits vendus '!F33,Ouvrage,4,FALSE),1),"")</f>
        <v>Divergente 3</v>
      </c>
      <c r="H33" s="59">
        <f t="shared" si="0"/>
        <v>15</v>
      </c>
      <c r="I33" s="75">
        <f t="shared" si="1"/>
        <v>29.5</v>
      </c>
      <c r="L33" s="35"/>
      <c r="N33" s="8"/>
      <c r="O33" s="8"/>
    </row>
    <row r="34" spans="2:15" ht="20.100000000000001" customHeight="1" thickBot="1" x14ac:dyDescent="0.3">
      <c r="B34" s="58" t="str">
        <f t="shared" si="2"/>
        <v>20210215IZGBERLONGRA</v>
      </c>
      <c r="C34" s="45">
        <v>44242</v>
      </c>
      <c r="D34" s="59" t="s">
        <v>167</v>
      </c>
      <c r="E34" s="58" t="str">
        <f>CONCATENATE(VLOOKUP(D34,'Liste des clients'!$B$6:$E$21,3,0)," ",VLOOKUP(D34,'Liste des clients'!$B$6:$E$21,4,0))</f>
        <v>IZGOUD Bernadette</v>
      </c>
      <c r="F34" s="64" t="s">
        <v>115</v>
      </c>
      <c r="G34" s="60" t="str">
        <f>IFERROR(VLOOKUP('Liste des produits vendus '!F34,Ouvrage,2,FALSE)&amp;" "&amp;RIGHT(VLOOKUP('Liste des produits vendus '!F34,Ouvrage,4,FALSE),1),"")</f>
        <v>Games of Throne 3</v>
      </c>
      <c r="H34" s="59">
        <f t="shared" si="0"/>
        <v>19.5</v>
      </c>
      <c r="I34" s="75" t="str">
        <f t="shared" si="1"/>
        <v/>
      </c>
      <c r="L34" s="35"/>
      <c r="N34" s="8"/>
      <c r="O34" s="8"/>
    </row>
    <row r="35" spans="2:15" ht="20.100000000000001" customHeight="1" thickBot="1" x14ac:dyDescent="0.3">
      <c r="B35" s="58" t="str">
        <f t="shared" si="2"/>
        <v>20210215IZGBERLONGRA</v>
      </c>
      <c r="C35" s="45">
        <v>44242</v>
      </c>
      <c r="D35" s="59" t="s">
        <v>167</v>
      </c>
      <c r="E35" s="58" t="str">
        <f>CONCATENATE(VLOOKUP(D35,'Liste des clients'!$B$6:$E$21,3,0)," ",VLOOKUP(D35,'Liste des clients'!$B$6:$E$21,4,0))</f>
        <v>IZGOUD Bernadette</v>
      </c>
      <c r="F35" s="64" t="s">
        <v>116</v>
      </c>
      <c r="G35" s="60" t="str">
        <f>IFERROR(VLOOKUP('Liste des produits vendus '!F35,Ouvrage,2,FALSE)&amp;" "&amp;RIGHT(VLOOKUP('Liste des produits vendus '!F35,Ouvrage,4,FALSE),1),"")</f>
        <v>Games of Throne 4</v>
      </c>
      <c r="H35" s="59">
        <f t="shared" si="0"/>
        <v>21</v>
      </c>
      <c r="I35" s="75">
        <f t="shared" si="1"/>
        <v>40.5</v>
      </c>
      <c r="L35" s="35"/>
      <c r="N35" s="8"/>
      <c r="O35" s="8"/>
    </row>
    <row r="36" spans="2:15" ht="20.100000000000001" customHeight="1" thickBot="1" x14ac:dyDescent="0.3">
      <c r="B36" s="58" t="str">
        <f t="shared" si="2"/>
        <v>20210215PREJEARENFRA</v>
      </c>
      <c r="C36" s="45">
        <v>44242</v>
      </c>
      <c r="D36" s="59" t="s">
        <v>169</v>
      </c>
      <c r="E36" s="58" t="str">
        <f>CONCATENATE(VLOOKUP(D36,'Liste des clients'!$B$6:$E$21,3,0)," ",VLOOKUP(D36,'Liste des clients'!$B$6:$E$21,4,0))</f>
        <v>PREFFER Jeanne</v>
      </c>
      <c r="F36" s="64" t="s">
        <v>115</v>
      </c>
      <c r="G36" s="60" t="str">
        <f>IFERROR(VLOOKUP('Liste des produits vendus '!F36,Ouvrage,2,FALSE)&amp;" "&amp;RIGHT(VLOOKUP('Liste des produits vendus '!F36,Ouvrage,4,FALSE),1),"")</f>
        <v>Games of Throne 3</v>
      </c>
      <c r="H36" s="59">
        <f t="shared" si="0"/>
        <v>19.5</v>
      </c>
      <c r="I36" s="75">
        <f t="shared" si="1"/>
        <v>19.5</v>
      </c>
      <c r="L36" s="35"/>
      <c r="N36" s="8"/>
      <c r="O36" s="8"/>
    </row>
    <row r="37" spans="2:15" ht="20.100000000000001" customHeight="1" thickBot="1" x14ac:dyDescent="0.3">
      <c r="B37" s="58" t="str">
        <f t="shared" si="2"/>
        <v>20210215REGOTAGENSUI</v>
      </c>
      <c r="C37" s="45">
        <v>44242</v>
      </c>
      <c r="D37" s="59" t="s">
        <v>142</v>
      </c>
      <c r="E37" s="58" t="str">
        <f>CONCATENATE(VLOOKUP(D37,'Liste des clients'!$B$6:$E$21,3,0)," ",VLOOKUP(D37,'Liste des clients'!$B$6:$E$21,4,0))</f>
        <v>REGION Otalie</v>
      </c>
      <c r="F37" s="64" t="s">
        <v>116</v>
      </c>
      <c r="G37" s="60" t="str">
        <f>IFERROR(VLOOKUP('Liste des produits vendus '!F37,Ouvrage,2,FALSE)&amp;" "&amp;RIGHT(VLOOKUP('Liste des produits vendus '!F37,Ouvrage,4,FALSE),1),"")</f>
        <v>Games of Throne 4</v>
      </c>
      <c r="H37" s="59">
        <f t="shared" si="0"/>
        <v>21</v>
      </c>
      <c r="I37" s="75" t="str">
        <f t="shared" si="1"/>
        <v/>
      </c>
      <c r="L37" s="35"/>
      <c r="N37" s="8"/>
      <c r="O37" s="8"/>
    </row>
    <row r="38" spans="2:15" ht="20.100000000000001" customHeight="1" thickBot="1" x14ac:dyDescent="0.3">
      <c r="B38" s="58" t="str">
        <f t="shared" si="2"/>
        <v>20210215REGOTAGENSUI</v>
      </c>
      <c r="C38" s="45">
        <v>44242</v>
      </c>
      <c r="D38" s="59" t="s">
        <v>142</v>
      </c>
      <c r="E38" s="58" t="str">
        <f>CONCATENATE(VLOOKUP(D38,'Liste des clients'!$B$6:$E$21,3,0)," ",VLOOKUP(D38,'Liste des clients'!$B$6:$E$21,4,0))</f>
        <v>REGION Otalie</v>
      </c>
      <c r="F38" s="64" t="s">
        <v>138</v>
      </c>
      <c r="G38" s="60" t="str">
        <f>IFERROR(VLOOKUP('Liste des produits vendus '!F38,Ouvrage,2,FALSE)&amp;" "&amp;RIGHT(VLOOKUP('Liste des produits vendus '!F38,Ouvrage,4,FALSE),1),"")</f>
        <v>Games of Throne 5</v>
      </c>
      <c r="H38" s="59">
        <f t="shared" si="0"/>
        <v>21</v>
      </c>
      <c r="I38" s="75">
        <f t="shared" si="1"/>
        <v>42</v>
      </c>
      <c r="L38" s="35"/>
      <c r="N38" s="8"/>
      <c r="O38" s="8"/>
    </row>
    <row r="39" spans="2:15" ht="20.100000000000001" customHeight="1" thickBot="1" x14ac:dyDescent="0.3">
      <c r="B39" s="58" t="str">
        <f t="shared" si="2"/>
        <v>20210220PORJULNANFRA</v>
      </c>
      <c r="C39" s="45">
        <v>44247</v>
      </c>
      <c r="D39" s="59" t="s">
        <v>143</v>
      </c>
      <c r="E39" s="58" t="str">
        <f>CONCATENATE(VLOOKUP(D39,'Liste des clients'!$B$6:$E$21,3,0)," ",VLOOKUP(D39,'Liste des clients'!$B$6:$E$21,4,0))</f>
        <v>PORTE Juliette</v>
      </c>
      <c r="F39" s="64" t="s">
        <v>130</v>
      </c>
      <c r="G39" s="60" t="str">
        <f>IFERROR(VLOOKUP('Liste des produits vendus '!F39,Ouvrage,2,FALSE)&amp;" "&amp;RIGHT(VLOOKUP('Liste des produits vendus '!F39,Ouvrage,4,FALSE),1),"")</f>
        <v>Bleu Saphir  2</v>
      </c>
      <c r="H39" s="59">
        <f t="shared" si="0"/>
        <v>13</v>
      </c>
      <c r="I39" s="75" t="str">
        <f t="shared" si="1"/>
        <v/>
      </c>
      <c r="L39" s="35"/>
      <c r="N39" s="8"/>
      <c r="O39" s="8"/>
    </row>
    <row r="40" spans="2:15" ht="20.100000000000001" customHeight="1" thickBot="1" x14ac:dyDescent="0.3">
      <c r="B40" s="58" t="str">
        <f t="shared" si="2"/>
        <v>20210220PORJULNANFRA</v>
      </c>
      <c r="C40" s="46">
        <v>44247</v>
      </c>
      <c r="D40" s="61" t="s">
        <v>143</v>
      </c>
      <c r="E40" s="58" t="str">
        <f>CONCATENATE(VLOOKUP(D40,'Liste des clients'!$B$6:$E$21,3,0)," ",VLOOKUP(D40,'Liste des clients'!$B$6:$E$21,4,0))</f>
        <v>PORTE Juliette</v>
      </c>
      <c r="F40" s="65" t="s">
        <v>129</v>
      </c>
      <c r="G40" s="62" t="str">
        <f>IFERROR(VLOOKUP('Liste des produits vendus '!F40,Ouvrage,2,FALSE)&amp;" "&amp;RIGHT(VLOOKUP('Liste des produits vendus '!F40,Ouvrage,4,FALSE),1),"")</f>
        <v>Vert Emeraude  3</v>
      </c>
      <c r="H40" s="61">
        <f t="shared" si="0"/>
        <v>13</v>
      </c>
      <c r="I40" s="57">
        <f t="shared" si="1"/>
        <v>26</v>
      </c>
      <c r="L40" s="35"/>
      <c r="N40" s="8"/>
      <c r="O40" s="8"/>
    </row>
    <row r="41" spans="2:15" ht="20.100000000000001" customHeight="1" thickBot="1" x14ac:dyDescent="0.3">
      <c r="B41" s="21"/>
      <c r="C41" s="47"/>
      <c r="D41" s="21"/>
      <c r="E41" s="21"/>
      <c r="F41" s="21"/>
      <c r="G41" s="21"/>
      <c r="H41" s="36">
        <f>SUM(Montant)</f>
        <v>573</v>
      </c>
      <c r="I41" s="50">
        <f>SUM(I6:I40)</f>
        <v>573</v>
      </c>
      <c r="L41" s="35"/>
    </row>
    <row r="42" spans="2:15" ht="20.100000000000001" customHeight="1" thickBot="1" x14ac:dyDescent="0.3">
      <c r="B42" s="21"/>
      <c r="C42" s="47"/>
      <c r="D42" s="21"/>
      <c r="E42" s="21"/>
      <c r="F42" s="21"/>
      <c r="G42" s="21"/>
      <c r="H42" s="48"/>
      <c r="I42" s="49"/>
      <c r="L42" s="35"/>
    </row>
    <row r="43" spans="2:15" ht="18" x14ac:dyDescent="0.25">
      <c r="B43" s="56" t="s">
        <v>144</v>
      </c>
      <c r="C43" s="35"/>
      <c r="D43" s="7"/>
      <c r="E43" s="7"/>
      <c r="F43" s="56" t="s">
        <v>144</v>
      </c>
      <c r="G43" s="7"/>
      <c r="H43" s="56" t="s">
        <v>144</v>
      </c>
      <c r="I43" s="35"/>
      <c r="L43" s="35"/>
    </row>
    <row r="44" spans="2:15" ht="18.75" thickBot="1" x14ac:dyDescent="0.3">
      <c r="B44" s="57" t="s">
        <v>146</v>
      </c>
      <c r="C44" s="35"/>
      <c r="D44" s="7"/>
      <c r="E44" s="7"/>
      <c r="F44" s="57" t="s">
        <v>135</v>
      </c>
      <c r="G44" s="7"/>
      <c r="H44" s="57" t="s">
        <v>145</v>
      </c>
      <c r="I44" s="35"/>
      <c r="L44" s="35"/>
    </row>
  </sheetData>
  <mergeCells count="2">
    <mergeCell ref="D2:F2"/>
    <mergeCell ref="D3:F3"/>
  </mergeCells>
  <conditionalFormatting sqref="B6:I40">
    <cfRule type="expression" dxfId="0" priority="10">
      <formula>$I6&lt;&gt;""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8" orientation="landscape" r:id="rId1"/>
  <headerFooter>
    <oddHeader>&amp;C&amp;"+,Gras"&amp;16Liste des produits vendus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27"/>
  <sheetViews>
    <sheetView zoomScale="120" zoomScaleNormal="120" workbookViewId="0">
      <selection activeCell="B2" sqref="B2"/>
    </sheetView>
  </sheetViews>
  <sheetFormatPr baseColWidth="10" defaultRowHeight="15" x14ac:dyDescent="0.25"/>
  <cols>
    <col min="1" max="1" width="21" bestFit="1" customWidth="1"/>
    <col min="2" max="2" width="23.28515625" bestFit="1" customWidth="1"/>
    <col min="3" max="3" width="26.85546875" bestFit="1" customWidth="1"/>
    <col min="4" max="4" width="21" bestFit="1" customWidth="1"/>
    <col min="5" max="5" width="33.42578125" bestFit="1" customWidth="1"/>
    <col min="6" max="6" width="15.85546875" customWidth="1"/>
    <col min="7" max="7" width="16.42578125" customWidth="1"/>
    <col min="8" max="8" width="16.140625" customWidth="1"/>
    <col min="9" max="9" width="16.5703125" customWidth="1"/>
    <col min="10" max="10" width="15.5703125" customWidth="1"/>
    <col min="11" max="11" width="15.42578125" customWidth="1"/>
    <col min="12" max="12" width="12.7109375" customWidth="1"/>
    <col min="13" max="13" width="13.7109375" bestFit="1" customWidth="1"/>
    <col min="14" max="14" width="12.7109375" bestFit="1" customWidth="1"/>
    <col min="15" max="19" width="15.7109375" bestFit="1" customWidth="1"/>
    <col min="20" max="21" width="14.28515625" bestFit="1" customWidth="1"/>
    <col min="22" max="24" width="13.140625" bestFit="1" customWidth="1"/>
    <col min="25" max="25" width="12.5703125" bestFit="1" customWidth="1"/>
  </cols>
  <sheetData>
    <row r="1" spans="1:5" ht="20.100000000000001" customHeight="1" x14ac:dyDescent="0.25">
      <c r="A1" s="94" t="s">
        <v>176</v>
      </c>
      <c r="B1" t="s">
        <v>193</v>
      </c>
      <c r="D1" s="94" t="s">
        <v>176</v>
      </c>
      <c r="E1" t="s">
        <v>194</v>
      </c>
    </row>
    <row r="2" spans="1:5" x14ac:dyDescent="0.25">
      <c r="A2" s="19" t="s">
        <v>178</v>
      </c>
      <c r="B2" s="95">
        <v>31</v>
      </c>
      <c r="D2" s="19" t="s">
        <v>178</v>
      </c>
      <c r="E2" s="95">
        <v>31</v>
      </c>
    </row>
    <row r="3" spans="1:5" x14ac:dyDescent="0.25">
      <c r="A3" s="19" t="s">
        <v>179</v>
      </c>
      <c r="B3" s="95">
        <v>39</v>
      </c>
      <c r="D3" s="19" t="s">
        <v>179</v>
      </c>
      <c r="E3" s="95">
        <v>39</v>
      </c>
    </row>
    <row r="4" spans="1:5" x14ac:dyDescent="0.25">
      <c r="A4" s="19" t="s">
        <v>180</v>
      </c>
      <c r="B4" s="95">
        <v>16.5</v>
      </c>
      <c r="D4" s="19" t="s">
        <v>180</v>
      </c>
      <c r="E4" s="95">
        <v>16.5</v>
      </c>
    </row>
    <row r="5" spans="1:5" x14ac:dyDescent="0.25">
      <c r="A5" s="19" t="s">
        <v>181</v>
      </c>
      <c r="B5" s="95">
        <v>24.5</v>
      </c>
      <c r="D5" s="19" t="s">
        <v>181</v>
      </c>
      <c r="E5" s="95">
        <v>24.5</v>
      </c>
    </row>
    <row r="6" spans="1:5" x14ac:dyDescent="0.25">
      <c r="A6" s="19" t="s">
        <v>182</v>
      </c>
      <c r="B6" s="95">
        <v>34.5</v>
      </c>
      <c r="D6" s="19" t="s">
        <v>182</v>
      </c>
      <c r="E6" s="95">
        <v>34.5</v>
      </c>
    </row>
    <row r="7" spans="1:5" x14ac:dyDescent="0.25">
      <c r="A7" s="19" t="s">
        <v>183</v>
      </c>
      <c r="B7" s="95">
        <v>32.5</v>
      </c>
      <c r="D7" s="19" t="s">
        <v>183</v>
      </c>
      <c r="E7" s="95">
        <v>32.5</v>
      </c>
    </row>
    <row r="8" spans="1:5" x14ac:dyDescent="0.25">
      <c r="A8" s="19" t="s">
        <v>184</v>
      </c>
      <c r="B8" s="95">
        <v>57.5</v>
      </c>
      <c r="D8" s="19" t="s">
        <v>184</v>
      </c>
      <c r="E8" s="95">
        <v>57.5</v>
      </c>
    </row>
    <row r="9" spans="1:5" x14ac:dyDescent="0.25">
      <c r="A9" s="19" t="s">
        <v>185</v>
      </c>
      <c r="B9" s="95">
        <v>63.5</v>
      </c>
      <c r="D9" s="19" t="s">
        <v>185</v>
      </c>
      <c r="E9" s="95">
        <v>63.5</v>
      </c>
    </row>
    <row r="10" spans="1:5" x14ac:dyDescent="0.25">
      <c r="A10" s="19" t="s">
        <v>186</v>
      </c>
      <c r="B10" s="95">
        <v>79</v>
      </c>
      <c r="D10" s="19" t="s">
        <v>186</v>
      </c>
      <c r="E10" s="95">
        <v>79</v>
      </c>
    </row>
    <row r="11" spans="1:5" x14ac:dyDescent="0.25">
      <c r="A11" s="19" t="s">
        <v>187</v>
      </c>
      <c r="B11" s="95">
        <v>33.5</v>
      </c>
      <c r="D11" s="19" t="s">
        <v>187</v>
      </c>
      <c r="E11" s="95">
        <v>33.5</v>
      </c>
    </row>
    <row r="12" spans="1:5" x14ac:dyDescent="0.25">
      <c r="A12" s="19" t="s">
        <v>188</v>
      </c>
      <c r="B12" s="95">
        <v>19</v>
      </c>
      <c r="D12" s="19" t="s">
        <v>188</v>
      </c>
      <c r="E12" s="95">
        <v>19</v>
      </c>
    </row>
    <row r="13" spans="1:5" x14ac:dyDescent="0.25">
      <c r="A13" s="19" t="s">
        <v>189</v>
      </c>
      <c r="B13" s="95">
        <v>26</v>
      </c>
      <c r="D13" s="19" t="s">
        <v>189</v>
      </c>
      <c r="E13" s="95">
        <v>26</v>
      </c>
    </row>
    <row r="14" spans="1:5" x14ac:dyDescent="0.25">
      <c r="A14" s="19" t="s">
        <v>190</v>
      </c>
      <c r="B14" s="95">
        <v>19.5</v>
      </c>
      <c r="D14" s="19" t="s">
        <v>190</v>
      </c>
      <c r="E14" s="95">
        <v>19.5</v>
      </c>
    </row>
    <row r="15" spans="1:5" x14ac:dyDescent="0.25">
      <c r="A15" s="19" t="s">
        <v>191</v>
      </c>
      <c r="B15" s="95">
        <v>42</v>
      </c>
      <c r="D15" s="19" t="s">
        <v>191</v>
      </c>
      <c r="E15" s="95">
        <v>42</v>
      </c>
    </row>
    <row r="16" spans="1:5" x14ac:dyDescent="0.25">
      <c r="A16" s="19" t="s">
        <v>192</v>
      </c>
      <c r="B16" s="95">
        <v>55</v>
      </c>
      <c r="D16" s="19" t="s">
        <v>192</v>
      </c>
      <c r="E16" s="95">
        <v>55</v>
      </c>
    </row>
    <row r="17" spans="1:6" x14ac:dyDescent="0.25">
      <c r="A17" s="19" t="s">
        <v>177</v>
      </c>
      <c r="B17" s="95">
        <v>573</v>
      </c>
      <c r="D17" s="19" t="s">
        <v>177</v>
      </c>
      <c r="E17" s="95">
        <v>573</v>
      </c>
    </row>
    <row r="19" spans="1:6" x14ac:dyDescent="0.25">
      <c r="F19" s="19"/>
    </row>
    <row r="24" spans="1:6" x14ac:dyDescent="0.25">
      <c r="C24" s="53"/>
    </row>
    <row r="25" spans="1:6" x14ac:dyDescent="0.25">
      <c r="C25" s="53"/>
    </row>
    <row r="26" spans="1:6" x14ac:dyDescent="0.25">
      <c r="C26" s="53"/>
    </row>
    <row r="27" spans="1:6" x14ac:dyDescent="0.25">
      <c r="C27" s="53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0" orientation="landscape" r:id="rId3"/>
  <headerFooter>
    <oddHeader>&amp;C&amp;"+,Gras"&amp;16Total des ventes par clients&amp;R&amp;"+,Italique"&amp;10feuille 3</oddHeader>
  </headerFooter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2203EA-7C12-4212-8BBB-674775E0EC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5C7A3A-6BBB-496E-A0D0-CDBB201558C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13</vt:i4>
      </vt:variant>
    </vt:vector>
  </HeadingPairs>
  <TitlesOfParts>
    <vt:vector size="17" baseType="lpstr">
      <vt:lpstr>Liste des clients</vt:lpstr>
      <vt:lpstr>Catalogue des produits</vt:lpstr>
      <vt:lpstr>Liste des produits vendus </vt:lpstr>
      <vt:lpstr>Total des ventes par clients</vt:lpstr>
      <vt:lpstr>Achats</vt:lpstr>
      <vt:lpstr>Clients</vt:lpstr>
      <vt:lpstr>Commande</vt:lpstr>
      <vt:lpstr>Montant</vt:lpstr>
      <vt:lpstr>Ouvrage</vt:lpstr>
      <vt:lpstr>produits</vt:lpstr>
      <vt:lpstr>tableau</vt:lpstr>
      <vt:lpstr>Total</vt:lpstr>
      <vt:lpstr>Vendus</vt:lpstr>
      <vt:lpstr>'Catalogue des produits'!Zone_d_impression</vt:lpstr>
      <vt:lpstr>'Liste des clients'!Zone_d_impression</vt:lpstr>
      <vt:lpstr>'Liste des produits vendus '!Zone_d_impression</vt:lpstr>
      <vt:lpstr>'Total des ventes par clients'!Zone_d_impression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GRELIER Francois</dc:creator>
  <cp:lastModifiedBy>Patrik SKALA</cp:lastModifiedBy>
  <cp:lastPrinted>2017-02-10T10:08:17Z</cp:lastPrinted>
  <dcterms:created xsi:type="dcterms:W3CDTF">2011-10-11T07:55:14Z</dcterms:created>
  <dcterms:modified xsi:type="dcterms:W3CDTF">2026-06-09T19:40:53Z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0x0101007C1BA73A35019D419C8C76995283AE5E</vt:lpwstr>
  </property>
</Properties>
</file>